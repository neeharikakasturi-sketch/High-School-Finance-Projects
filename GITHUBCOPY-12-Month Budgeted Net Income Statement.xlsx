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wningtown-my.sharepoint.com/personal/nkasturi01_student_dasd_org/Documents/Attachments/GITHUB/"/>
    </mc:Choice>
  </mc:AlternateContent>
  <xr:revisionPtr revIDLastSave="0" documentId="8_{6F9B9BD4-ED4F-4A66-A974-A3EBF7AA8017}" xr6:coauthVersionLast="47" xr6:coauthVersionMax="47" xr10:uidLastSave="{00000000-0000-0000-0000-000000000000}"/>
  <bookViews>
    <workbookView xWindow="-120" yWindow="-120" windowWidth="29040" windowHeight="17520" tabRatio="852" xr2:uid="{A34F4E40-BAE5-4C83-BF63-FAB4246A4C09}"/>
  </bookViews>
  <sheets>
    <sheet name="Original Data" sheetId="1" r:id="rId1"/>
    <sheet name="Total Revenue 12 Months" sheetId="2" r:id="rId2"/>
    <sheet name="Total Cost of Goods Sold " sheetId="3" r:id="rId3"/>
    <sheet name="Total Expenses Monthly" sheetId="4" r:id="rId4"/>
    <sheet name="Net Income Monthly" sheetId="5" r:id="rId5"/>
    <sheet name="Total Revenue 4 Items Monthly" sheetId="6" r:id="rId6"/>
    <sheet name="Jan Total Revenue" sheetId="7" r:id="rId7"/>
    <sheet name="April CGS" sheetId="8" r:id="rId8"/>
    <sheet name="Total Expenses 5 Items" sheetId="10" r:id="rId9"/>
    <sheet name="July Expenses" sheetId="11" r:id="rId10"/>
    <sheet name="October Taxes Interest" sheetId="12" r:id="rId11"/>
    <sheet name="Jan Stacked Revenue" sheetId="14" r:id="rId12"/>
    <sheet name="Feb Stacked Revenue" sheetId="15" r:id="rId13"/>
    <sheet name="Mar Stacked Revenue " sheetId="16" r:id="rId14"/>
    <sheet name="Apr Stacked Revenue" sheetId="17" r:id="rId15"/>
    <sheet name="May Stacked Revenue" sheetId="18" r:id="rId16"/>
    <sheet name="Jun Stacked Revenue" sheetId="19" r:id="rId17"/>
    <sheet name="Jul Stacked Revenue" sheetId="20" r:id="rId18"/>
  </sheets>
  <definedNames>
    <definedName name="_xlnm._FilterDatabase" localSheetId="0" hidden="1">'Original Data'!$A$3:$O$3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B41" i="1"/>
  <c r="C37" i="1"/>
  <c r="D37" i="1"/>
  <c r="E37" i="1"/>
  <c r="F37" i="1"/>
  <c r="G37" i="1"/>
  <c r="H37" i="1"/>
  <c r="I37" i="1"/>
  <c r="J37" i="1"/>
  <c r="K37" i="1"/>
  <c r="L37" i="1"/>
  <c r="M37" i="1"/>
  <c r="N37" i="1"/>
  <c r="B37" i="1"/>
  <c r="O33" i="1"/>
  <c r="O31" i="1"/>
  <c r="D30" i="1"/>
  <c r="E30" i="1"/>
  <c r="F30" i="1"/>
  <c r="G30" i="1"/>
  <c r="H30" i="1"/>
  <c r="I30" i="1"/>
  <c r="J30" i="1"/>
  <c r="K30" i="1"/>
  <c r="L30" i="1"/>
  <c r="M30" i="1"/>
  <c r="C30" i="1"/>
  <c r="D29" i="1"/>
  <c r="E29" i="1"/>
  <c r="F29" i="1"/>
  <c r="G29" i="1"/>
  <c r="H29" i="1"/>
  <c r="I29" i="1"/>
  <c r="J29" i="1"/>
  <c r="K29" i="1"/>
  <c r="L29" i="1"/>
  <c r="M29" i="1"/>
  <c r="C29" i="1"/>
  <c r="C13" i="1"/>
  <c r="D13" i="1"/>
  <c r="E13" i="1"/>
  <c r="F13" i="1"/>
  <c r="G13" i="1"/>
  <c r="H13" i="1"/>
  <c r="I13" i="1"/>
  <c r="J13" i="1"/>
  <c r="K13" i="1"/>
  <c r="L13" i="1"/>
  <c r="M13" i="1"/>
  <c r="B13" i="1"/>
  <c r="B21" i="1" s="1"/>
  <c r="B23" i="1" s="1"/>
  <c r="K21" i="1"/>
  <c r="C10" i="1"/>
  <c r="D10" i="1"/>
  <c r="E10" i="1"/>
  <c r="F10" i="1"/>
  <c r="G10" i="1"/>
  <c r="H10" i="1"/>
  <c r="I10" i="1"/>
  <c r="J10" i="1"/>
  <c r="K10" i="1"/>
  <c r="L10" i="1"/>
  <c r="M10" i="1"/>
  <c r="B10" i="1"/>
  <c r="B18" i="1" s="1"/>
  <c r="D5" i="1"/>
  <c r="E5" i="1"/>
  <c r="F5" i="1" s="1"/>
  <c r="G5" i="1" s="1"/>
  <c r="H5" i="1" s="1"/>
  <c r="I5" i="1" s="1"/>
  <c r="J5" i="1" s="1"/>
  <c r="K5" i="1" s="1"/>
  <c r="L5" i="1" s="1"/>
  <c r="M5" i="1" s="1"/>
  <c r="C5" i="1"/>
  <c r="C6" i="1"/>
  <c r="C12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B11" i="1"/>
  <c r="B19" i="1" s="1"/>
  <c r="B12" i="1"/>
  <c r="B20" i="1" s="1"/>
  <c r="C31" i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B33" i="1"/>
  <c r="N27" i="1"/>
  <c r="N28" i="1"/>
  <c r="B8" i="1"/>
  <c r="D6" i="1" l="1"/>
  <c r="E6" i="1" s="1"/>
  <c r="F6" i="1" s="1"/>
  <c r="G6" i="1" s="1"/>
  <c r="H6" i="1" s="1"/>
  <c r="I6" i="1" s="1"/>
  <c r="J6" i="1" s="1"/>
  <c r="K6" i="1" s="1"/>
  <c r="L6" i="1" s="1"/>
  <c r="M6" i="1" s="1"/>
  <c r="C33" i="1"/>
  <c r="N7" i="1"/>
  <c r="N31" i="1"/>
  <c r="N30" i="1"/>
  <c r="C11" i="1"/>
  <c r="C19" i="1" s="1"/>
  <c r="B35" i="1"/>
  <c r="F18" i="1"/>
  <c r="D11" i="1"/>
  <c r="D19" i="1" s="1"/>
  <c r="N4" i="1"/>
  <c r="D21" i="1"/>
  <c r="C20" i="1"/>
  <c r="C8" i="1"/>
  <c r="C21" i="1"/>
  <c r="D12" i="1" l="1"/>
  <c r="D20" i="1" s="1"/>
  <c r="D8" i="1"/>
  <c r="E12" i="1"/>
  <c r="B39" i="1"/>
  <c r="K18" i="1"/>
  <c r="L18" i="1"/>
  <c r="D33" i="1"/>
  <c r="D18" i="1"/>
  <c r="E11" i="1"/>
  <c r="E19" i="1" s="1"/>
  <c r="E18" i="1"/>
  <c r="G18" i="1"/>
  <c r="I18" i="1"/>
  <c r="M18" i="1"/>
  <c r="H18" i="1"/>
  <c r="J18" i="1"/>
  <c r="C18" i="1"/>
  <c r="C23" i="1" s="1"/>
  <c r="C35" i="1" s="1"/>
  <c r="E8" i="1"/>
  <c r="N10" i="1" l="1"/>
  <c r="N18" i="1" s="1"/>
  <c r="B43" i="1"/>
  <c r="B45" i="1" s="1"/>
  <c r="D23" i="1"/>
  <c r="D35" i="1" s="1"/>
  <c r="E20" i="1"/>
  <c r="F12" i="1"/>
  <c r="C39" i="1"/>
  <c r="E33" i="1"/>
  <c r="F11" i="1"/>
  <c r="E21" i="1"/>
  <c r="G12" i="1"/>
  <c r="F21" i="1"/>
  <c r="C43" i="1" l="1"/>
  <c r="C45" i="1" s="1"/>
  <c r="E23" i="1"/>
  <c r="E35" i="1" s="1"/>
  <c r="E39" i="1" s="1"/>
  <c r="F8" i="1"/>
  <c r="F20" i="1"/>
  <c r="D39" i="1"/>
  <c r="F33" i="1"/>
  <c r="G20" i="1"/>
  <c r="F19" i="1"/>
  <c r="G11" i="1"/>
  <c r="G21" i="1"/>
  <c r="H12" i="1"/>
  <c r="G8" i="1"/>
  <c r="D43" i="1" l="1"/>
  <c r="D45" i="1" s="1"/>
  <c r="E43" i="1"/>
  <c r="E45" i="1" s="1"/>
  <c r="F23" i="1"/>
  <c r="F35" i="1" s="1"/>
  <c r="G33" i="1"/>
  <c r="G19" i="1"/>
  <c r="G23" i="1" s="1"/>
  <c r="H11" i="1"/>
  <c r="H21" i="1"/>
  <c r="I12" i="1"/>
  <c r="H20" i="1"/>
  <c r="H8" i="1"/>
  <c r="F39" i="1" l="1"/>
  <c r="G35" i="1"/>
  <c r="H33" i="1"/>
  <c r="H19" i="1"/>
  <c r="H23" i="1" s="1"/>
  <c r="I11" i="1"/>
  <c r="I21" i="1"/>
  <c r="J12" i="1"/>
  <c r="I20" i="1"/>
  <c r="I8" i="1"/>
  <c r="F43" i="1" l="1"/>
  <c r="F45" i="1" s="1"/>
  <c r="H35" i="1"/>
  <c r="G39" i="1"/>
  <c r="I33" i="1"/>
  <c r="J20" i="1"/>
  <c r="I19" i="1"/>
  <c r="I23" i="1" s="1"/>
  <c r="J11" i="1"/>
  <c r="K12" i="1"/>
  <c r="J8" i="1"/>
  <c r="J21" i="1"/>
  <c r="G43" i="1" l="1"/>
  <c r="G45" i="1" s="1"/>
  <c r="I35" i="1"/>
  <c r="H39" i="1"/>
  <c r="J33" i="1"/>
  <c r="J19" i="1"/>
  <c r="J23" i="1" s="1"/>
  <c r="K11" i="1"/>
  <c r="L12" i="1"/>
  <c r="K8" i="1"/>
  <c r="K20" i="1"/>
  <c r="H43" i="1" l="1"/>
  <c r="H45" i="1" s="1"/>
  <c r="I39" i="1"/>
  <c r="I43" i="1" s="1"/>
  <c r="I45" i="1" s="1"/>
  <c r="J35" i="1"/>
  <c r="K33" i="1"/>
  <c r="L11" i="1"/>
  <c r="K19" i="1"/>
  <c r="K23" i="1" s="1"/>
  <c r="M12" i="1"/>
  <c r="L8" i="1"/>
  <c r="L20" i="1"/>
  <c r="L21" i="1"/>
  <c r="K35" i="1" l="1"/>
  <c r="J39" i="1"/>
  <c r="L33" i="1"/>
  <c r="N6" i="1"/>
  <c r="N12" i="1" s="1"/>
  <c r="L19" i="1"/>
  <c r="L23" i="1" s="1"/>
  <c r="M11" i="1"/>
  <c r="M19" i="1"/>
  <c r="N5" i="1"/>
  <c r="N13" i="1"/>
  <c r="M8" i="1"/>
  <c r="N8" i="1" s="1"/>
  <c r="J43" i="1" l="1"/>
  <c r="J45" i="1" s="1"/>
  <c r="N21" i="1"/>
  <c r="L35" i="1"/>
  <c r="L39" i="1" s="1"/>
  <c r="K39" i="1"/>
  <c r="M33" i="1"/>
  <c r="N29" i="1"/>
  <c r="N11" i="1"/>
  <c r="M21" i="1"/>
  <c r="M20" i="1"/>
  <c r="N20" i="1"/>
  <c r="O4" i="1"/>
  <c r="O7" i="1"/>
  <c r="O5" i="1"/>
  <c r="O6" i="1"/>
  <c r="M23" i="1" l="1"/>
  <c r="M35" i="1" s="1"/>
  <c r="L43" i="1"/>
  <c r="L45" i="1" s="1"/>
  <c r="K43" i="1"/>
  <c r="K45" i="1" s="1"/>
  <c r="N33" i="1"/>
  <c r="N19" i="1"/>
  <c r="O8" i="1"/>
  <c r="O28" i="1" l="1"/>
  <c r="O27" i="1"/>
  <c r="O30" i="1"/>
  <c r="O29" i="1"/>
  <c r="M39" i="1"/>
  <c r="N23" i="1"/>
  <c r="N35" i="1" s="1"/>
  <c r="M43" i="1" l="1"/>
  <c r="M45" i="1" s="1"/>
  <c r="N39" i="1"/>
  <c r="N41" i="1"/>
  <c r="O19" i="1"/>
  <c r="O18" i="1"/>
  <c r="O22" i="1"/>
  <c r="O23" i="1"/>
  <c r="O21" i="1"/>
  <c r="O20" i="1"/>
  <c r="N43" i="1" l="1"/>
  <c r="N45" i="1" s="1"/>
  <c r="B15" i="1"/>
  <c r="M15" i="1"/>
  <c r="J15" i="1"/>
  <c r="C15" i="1"/>
  <c r="K15" i="1"/>
  <c r="E15" i="1"/>
  <c r="G15" i="1"/>
  <c r="F15" i="1"/>
  <c r="H15" i="1"/>
  <c r="I15" i="1"/>
  <c r="L15" i="1"/>
  <c r="D15" i="1"/>
  <c r="N15" i="1" l="1"/>
  <c r="O10" i="1" s="1"/>
  <c r="O13" i="1" l="1"/>
  <c r="O15" i="1"/>
  <c r="O11" i="1"/>
  <c r="O12" i="1"/>
</calcChain>
</file>

<file path=xl/sharedStrings.xml><?xml version="1.0" encoding="utf-8"?>
<sst xmlns="http://schemas.openxmlformats.org/spreadsheetml/2006/main" count="60" uniqueCount="42">
  <si>
    <t>Courtside Cafe IS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</si>
  <si>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</si>
  <si>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</si>
  <si>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</si>
  <si>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</si>
  <si>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</si>
  <si>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</si>
  <si>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</si>
  <si>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</si>
  <si>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</si>
  <si>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</si>
  <si>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</si>
  <si>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</si>
  <si>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</si>
  <si>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 xml:space="preserve">Food </t>
  </si>
  <si>
    <t>Beverage</t>
  </si>
  <si>
    <t>Take-out Food</t>
  </si>
  <si>
    <t>Take-out Beverage</t>
  </si>
  <si>
    <t>Cost of Goods Sold (CGS)</t>
  </si>
  <si>
    <t>Foods CGS</t>
  </si>
  <si>
    <t>Beverage CGS</t>
  </si>
  <si>
    <t>Take-Out Food CGS</t>
  </si>
  <si>
    <t>Take-Out Beverage CGS</t>
  </si>
  <si>
    <t>Total CGS</t>
  </si>
  <si>
    <t xml:space="preserve">Total </t>
  </si>
  <si>
    <t>Percent of Total</t>
  </si>
  <si>
    <t>Gross Profit</t>
  </si>
  <si>
    <t>Total Revenue</t>
  </si>
  <si>
    <t>Total Gross Profits</t>
  </si>
  <si>
    <t>Expenses</t>
  </si>
  <si>
    <t>Payroll</t>
  </si>
  <si>
    <t>Insurance</t>
  </si>
  <si>
    <t>Utilities</t>
  </si>
  <si>
    <t>Advertising</t>
  </si>
  <si>
    <t>Miscellaneous</t>
  </si>
  <si>
    <t>Total Expenses</t>
  </si>
  <si>
    <t>NI From Operations</t>
  </si>
  <si>
    <t>EBIT</t>
  </si>
  <si>
    <t>Interest</t>
  </si>
  <si>
    <t>EBT</t>
  </si>
  <si>
    <t>Taxes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</si>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</sst>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44" fontId="2" fillId="0" borderId="0" xfId="1" applyFont="1"/>
    <xf numFmtId="44" fontId="0" fillId="0" borderId="0" xfId="0" applyNumberFormat="1"/>
    <xf numFmtId="164" fontId="0" fillId="0" borderId="0" xfId="2" applyNumberFormat="1" applyFont="1"/>
    <xf numFmtId="164" fontId="2" fillId="0" borderId="0" xfId="2" applyNumberFormat="1" applyFont="1"/>
    <xf numFmtId="2" fontId="0" fillId="0" borderId="0" xfId="1" applyNumberFormat="1" applyFont="1"/>
    <xf numFmtId="2" fontId="0" fillId="0" borderId="0" xfId="2" applyNumberFormat="1" applyFont="1"/>
    <xf numFmtId="44" fontId="2" fillId="0" borderId="0" xfId="0" applyNumberFormat="1" applyFont="1"/>
    <xf numFmtId="0" fontId="5" fillId="0" borderId="0" xfId="3" applyFont="1" applyAlignment="1">
      <alignment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3" Type="http://schemas.openxmlformats.org/officeDocument/2006/relationships/chartsheet" Target="chartsheets/sheet2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'Original Data'!$A$4</c:f>
              <c:strCache>
                <c:ptCount val="1"/>
                <c:pt idx="0">
                  <c:v>Food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Data'!$B$4:$N$4</c:f>
              <c:numCache>
                <c:formatCode>_("$"* #,##0.00_);_("$"* \(#,##0.00\);_("$"* "-"??_);_(@_)</c:formatCode>
                <c:ptCount val="13"/>
                <c:pt idx="0">
                  <c:v>10000</c:v>
                </c:pt>
                <c:pt idx="1">
                  <c:v>10750</c:v>
                </c:pt>
                <c:pt idx="2">
                  <c:v>11556.25</c:v>
                </c:pt>
                <c:pt idx="3">
                  <c:v>12422.97</c:v>
                </c:pt>
                <c:pt idx="4">
                  <c:v>13354.69</c:v>
                </c:pt>
                <c:pt idx="5">
                  <c:v>14356.29</c:v>
                </c:pt>
                <c:pt idx="6">
                  <c:v>15433.01</c:v>
                </c:pt>
                <c:pt idx="7">
                  <c:v>16590.490000000002</c:v>
                </c:pt>
                <c:pt idx="8">
                  <c:v>17834.78</c:v>
                </c:pt>
                <c:pt idx="9">
                  <c:v>19172.39</c:v>
                </c:pt>
                <c:pt idx="10">
                  <c:v>20610.32</c:v>
                </c:pt>
                <c:pt idx="11">
                  <c:v>22156.09</c:v>
                </c:pt>
                <c:pt idx="12">
                  <c:v>184237.28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5-4F1F-AE5A-23D0D67CA49D}"/>
            </c:ext>
          </c:extLst>
        </c:ser>
        <c:ser>
          <c:idx val="1"/>
          <c:order val="1"/>
          <c:tx>
            <c:strRef>
              <c:f>'Original Data'!$A$5</c:f>
              <c:strCache>
                <c:ptCount val="1"/>
                <c:pt idx="0">
                  <c:v>Beverage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Data'!$B$5:$N$5</c:f>
              <c:numCache>
                <c:formatCode>_("$"* #,##0.00_);_("$"* \(#,##0.00\);_("$"* "-"??_);_(@_)</c:formatCode>
                <c:ptCount val="13"/>
                <c:pt idx="0">
                  <c:v>2000</c:v>
                </c:pt>
                <c:pt idx="1">
                  <c:v>85</c:v>
                </c:pt>
                <c:pt idx="2">
                  <c:v>3.6125000000000003</c:v>
                </c:pt>
                <c:pt idx="3">
                  <c:v>0.15353125000000004</c:v>
                </c:pt>
                <c:pt idx="4">
                  <c:v>6.5250781250000018E-3</c:v>
                </c:pt>
                <c:pt idx="5">
                  <c:v>2.7731582031250009E-4</c:v>
                </c:pt>
                <c:pt idx="6">
                  <c:v>1.1785922363281256E-5</c:v>
                </c:pt>
                <c:pt idx="7">
                  <c:v>5.0090170043945336E-7</c:v>
                </c:pt>
                <c:pt idx="8">
                  <c:v>2.1288322268676768E-8</c:v>
                </c:pt>
                <c:pt idx="9">
                  <c:v>9.0475369641876274E-10</c:v>
                </c:pt>
                <c:pt idx="10">
                  <c:v>3.8452032097797419E-11</c:v>
                </c:pt>
                <c:pt idx="11">
                  <c:v>1.6342113641563903E-12</c:v>
                </c:pt>
                <c:pt idx="12">
                  <c:v>2088.7728459530031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5-4F1F-AE5A-23D0D67CA49D}"/>
            </c:ext>
          </c:extLst>
        </c:ser>
        <c:ser>
          <c:idx val="2"/>
          <c:order val="2"/>
          <c:tx>
            <c:strRef>
              <c:f>'Original Data'!$A$6</c:f>
              <c:strCache>
                <c:ptCount val="1"/>
                <c:pt idx="0">
                  <c:v>Take-out Food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Data'!$B$6:$N$6</c:f>
              <c:numCache>
                <c:formatCode>_("$"* #,##0.00_);_("$"* \(#,##0.00\);_("$"* "-"??_);_(@_)</c:formatCode>
                <c:ptCount val="13"/>
                <c:pt idx="0">
                  <c:v>600</c:v>
                </c:pt>
                <c:pt idx="1">
                  <c:v>631.5</c:v>
                </c:pt>
                <c:pt idx="2">
                  <c:v>664.65374999999995</c:v>
                </c:pt>
                <c:pt idx="3">
                  <c:v>699.54807187499989</c:v>
                </c:pt>
                <c:pt idx="4">
                  <c:v>736.27434564843736</c:v>
                </c:pt>
                <c:pt idx="5">
                  <c:v>774.92874879498027</c:v>
                </c:pt>
                <c:pt idx="6">
                  <c:v>815.61250810671675</c:v>
                </c:pt>
                <c:pt idx="7">
                  <c:v>858.43216478231932</c:v>
                </c:pt>
                <c:pt idx="8">
                  <c:v>903.49985343339108</c:v>
                </c:pt>
                <c:pt idx="9">
                  <c:v>950.93359573864416</c:v>
                </c:pt>
                <c:pt idx="10">
                  <c:v>1000.857609514923</c:v>
                </c:pt>
                <c:pt idx="11">
                  <c:v>1053.4026340144565</c:v>
                </c:pt>
                <c:pt idx="12">
                  <c:v>9689.6432819088659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5-4F1F-AE5A-23D0D67CA49D}"/>
            </c:ext>
          </c:extLst>
        </c:ser>
        <c:ser>
          <c:idx val="3"/>
          <c:order val="3"/>
          <c:tx>
            <c:strRef>
              <c:f>'Original Data'!$A$7</c:f>
              <c:strCache>
                <c:ptCount val="1"/>
                <c:pt idx="0">
                  <c:v>Take-out Beverage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Data'!$B$7:$N$7</c:f>
              <c:numCache>
                <c:formatCode>_("$"* #,##0.00_);_("$"* \(#,##0.00\);_("$"* "-"??_);_(@_)</c:formatCode>
                <c:ptCount val="13"/>
                <c:pt idx="0">
                  <c:v>200</c:v>
                </c:pt>
                <c:pt idx="1">
                  <c:v>202.5</c:v>
                </c:pt>
                <c:pt idx="2">
                  <c:v>205.03125</c:v>
                </c:pt>
                <c:pt idx="3">
                  <c:v>207.59414062499999</c:v>
                </c:pt>
                <c:pt idx="4">
                  <c:v>210.18906738281248</c:v>
                </c:pt>
                <c:pt idx="5">
                  <c:v>212.81643072509763</c:v>
                </c:pt>
                <c:pt idx="6">
                  <c:v>215.47663610916135</c:v>
                </c:pt>
                <c:pt idx="7">
                  <c:v>218.17009406052586</c:v>
                </c:pt>
                <c:pt idx="8">
                  <c:v>220.89722023628241</c:v>
                </c:pt>
                <c:pt idx="9">
                  <c:v>223.65843548923593</c:v>
                </c:pt>
                <c:pt idx="10">
                  <c:v>226.45416593285137</c:v>
                </c:pt>
                <c:pt idx="11">
                  <c:v>229.284843007012</c:v>
                </c:pt>
                <c:pt idx="12">
                  <c:v>2572.0722835679794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5-4F1F-AE5A-23D0D67CA49D}"/>
            </c:ext>
          </c:extLst>
        </c:ser>
        <c:ser>
          <c:idx val="4"/>
          <c:order val="4"/>
          <c:tx>
            <c:strRef>
              <c:f>'Original Data'!$A$8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Data'!$B$8:$N$8</c:f>
              <c:numCache>
                <c:formatCode>_("$"* #,##0.00_);_("$"* \(#,##0.00\);_("$"* "-"??_);_(@_)</c:formatCode>
                <c:ptCount val="13"/>
                <c:pt idx="0">
                  <c:v>12800</c:v>
                </c:pt>
                <c:pt idx="1">
                  <c:v>11669</c:v>
                </c:pt>
                <c:pt idx="2">
                  <c:v>12429.547499999999</c:v>
                </c:pt>
                <c:pt idx="3">
                  <c:v>13330.26574375</c:v>
                </c:pt>
                <c:pt idx="4">
                  <c:v>14301.159938109375</c:v>
                </c:pt>
                <c:pt idx="5">
                  <c:v>15344.035456835898</c:v>
                </c:pt>
                <c:pt idx="6">
                  <c:v>16464.099156001801</c:v>
                </c:pt>
                <c:pt idx="7">
                  <c:v>17667.09225934375</c:v>
                </c:pt>
                <c:pt idx="8">
                  <c:v>18959.17707369096</c:v>
                </c:pt>
                <c:pt idx="9">
                  <c:v>20346.982031228785</c:v>
                </c:pt>
                <c:pt idx="10">
                  <c:v>21837.631775447811</c:v>
                </c:pt>
                <c:pt idx="11">
                  <c:v>23438.777477021467</c:v>
                </c:pt>
                <c:pt idx="12">
                  <c:v>198587.76841142983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5-4F1F-AE5A-23D0D67CA4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1850408"/>
        <c:axId val="391851128"/>
      </c:barChart>
      <c:catAx>
        <c:axId val="39185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51128"/>
        <c:crosses val="autoZero"/>
        <c:auto val="1"/>
        <c:lblAlgn val="ctr"/>
        <c:lblOffset val="100"/>
        <c:noMultiLvlLbl val="0"/>
      </c:catAx>
      <c:valAx>
        <c:axId val="3918511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39185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Cost of Goods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Data'!$B$3:$N$3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</c:strCache>
            </c:strRef>
          </c:cat>
          <c:val>
            <c:numRef>
              <c:f>'Original Data'!$B$15:$N$15</c:f>
              <c:numCache>
                <c:formatCode>_("$"* #,##0.00_);_("$"* \(#,##0.00\);_("$"* "-"??_);_(@_)</c:formatCode>
                <c:ptCount val="13"/>
                <c:pt idx="0">
                  <c:v>5008</c:v>
                </c:pt>
                <c:pt idx="1">
                  <c:v>4699.1187499999996</c:v>
                </c:pt>
                <c:pt idx="2">
                  <c:v>5014.3050468749998</c:v>
                </c:pt>
                <c:pt idx="3">
                  <c:v>5380.3321355859362</c:v>
                </c:pt>
                <c:pt idx="4">
                  <c:v>5774.629160803418</c:v>
                </c:pt>
                <c:pt idx="5">
                  <c:v>6198.2062502717672</c:v>
                </c:pt>
                <c:pt idx="6">
                  <c:v>6653.1746631163614</c:v>
                </c:pt>
                <c:pt idx="7">
                  <c:v>7141.8809229737235</c:v>
                </c:pt>
                <c:pt idx="8">
                  <c:v>7666.8304259142697</c:v>
                </c:pt>
                <c:pt idx="9">
                  <c:v>8230.7160956064363</c:v>
                </c:pt>
                <c:pt idx="10">
                  <c:v>8836.4505352387278</c:v>
                </c:pt>
                <c:pt idx="11">
                  <c:v>9487.1382494291993</c:v>
                </c:pt>
                <c:pt idx="12">
                  <c:v>80090.782235814841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4-4CCB-9515-9EAB842843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5687080"/>
        <c:axId val="865684200"/>
      </c:barChart>
      <c:catAx>
        <c:axId val="865687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84200"/>
        <c:crosses val="autoZero"/>
        <c:auto val="1"/>
        <c:lblAlgn val="ctr"/>
        <c:lblOffset val="100"/>
        <c:noMultiLvlLbl val="0"/>
      </c:catAx>
      <c:valAx>
        <c:axId val="865684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CGS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87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Expenses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'Original Data'!$B$33:$M$33</c:f>
              <c:numCache>
                <c:formatCode>_("$"* #,##0.00_);_("$"* \(#,##0.00\);_("$"* "-"??_);_(@_)</c:formatCode>
                <c:ptCount val="12"/>
                <c:pt idx="0">
                  <c:v>7200</c:v>
                </c:pt>
                <c:pt idx="1">
                  <c:v>6337</c:v>
                </c:pt>
                <c:pt idx="2">
                  <c:v>6308.8</c:v>
                </c:pt>
                <c:pt idx="3">
                  <c:v>6311.4400000000005</c:v>
                </c:pt>
                <c:pt idx="4">
                  <c:v>6315.28</c:v>
                </c:pt>
                <c:pt idx="5">
                  <c:v>6319.22</c:v>
                </c:pt>
                <c:pt idx="6">
                  <c:v>6323.21</c:v>
                </c:pt>
                <c:pt idx="7">
                  <c:v>6327.25</c:v>
                </c:pt>
                <c:pt idx="8">
                  <c:v>6331.34</c:v>
                </c:pt>
                <c:pt idx="9">
                  <c:v>6335.48</c:v>
                </c:pt>
                <c:pt idx="10">
                  <c:v>6339.67</c:v>
                </c:pt>
                <c:pt idx="11">
                  <c:v>6343.92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F5F-9D40-673796FD9E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78378792"/>
        <c:axId val="394643104"/>
      </c:areaChart>
      <c:catAx>
        <c:axId val="778378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43104"/>
        <c:crosses val="autoZero"/>
        <c:auto val="1"/>
        <c:lblAlgn val="ctr"/>
        <c:lblOffset val="100"/>
        <c:noMultiLvlLbl val="0"/>
      </c:catAx>
      <c:valAx>
        <c:axId val="39464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Net Income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'Original Data'!$B$3:$M$3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'Original Data'!$B$43:$M$43</c:f>
              <c:numCache>
                <c:formatCode>_("$"* #,##0.00_);_("$"* \(#,##0.00\);_("$"* "-"??_);_(@_)</c:formatCode>
                <c:ptCount val="12"/>
                <c:pt idx="0">
                  <c:v>448.14</c:v>
                </c:pt>
                <c:pt idx="1">
                  <c:v>479.09</c:v>
                </c:pt>
                <c:pt idx="2">
                  <c:v>837.57999999999993</c:v>
                </c:pt>
                <c:pt idx="3">
                  <c:v>1240.33</c:v>
                </c:pt>
                <c:pt idx="4">
                  <c:v>1673.92</c:v>
                </c:pt>
                <c:pt idx="5">
                  <c:v>2139.7400000000002</c:v>
                </c:pt>
                <c:pt idx="6">
                  <c:v>2640.2</c:v>
                </c:pt>
                <c:pt idx="7">
                  <c:v>3177.86</c:v>
                </c:pt>
                <c:pt idx="8">
                  <c:v>3755.4900000000002</c:v>
                </c:pt>
                <c:pt idx="9">
                  <c:v>4376.0600000000004</c:v>
                </c:pt>
                <c:pt idx="10">
                  <c:v>5042.7700000000004</c:v>
                </c:pt>
                <c:pt idx="11">
                  <c:v>5759.05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5-41D5-A6BF-6FF4152914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5357472"/>
        <c:axId val="865357832"/>
      </c:lineChart>
      <c:catAx>
        <c:axId val="86535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57832"/>
        <c:crosses val="autoZero"/>
        <c:auto val="1"/>
        <c:lblAlgn val="ctr"/>
        <c:lblOffset val="100"/>
        <c:noMultiLvlLbl val="0"/>
      </c:catAx>
      <c:valAx>
        <c:axId val="86535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 From Operations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5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for 4 Items Solf 12 Months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2.4736001749781286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'Original Data'!$A$4</c:f>
              <c:strCache>
                <c:ptCount val="1"/>
                <c:pt idx="0">
                  <c:v>Food 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D-4514-B551-FB39632A67E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ED-4514-B551-FB39632A67E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ED-4514-B551-FB39632A67E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ED-4514-B551-FB39632A67E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ED-4514-B551-FB39632A67E9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ED-4514-B551-FB39632A67E9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ED-4514-B551-FB39632A67E9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ED-4514-B551-FB39632A67E9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ED-4514-B551-FB39632A67E9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ED-4514-B551-FB39632A67E9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1ED-4514-B551-FB39632A67E9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1ED-4514-B551-FB39632A67E9}"/>
              </c:ext>
            </c:extLst>
          </c:dPt>
          <c:dPt>
            <c:idx val="12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1ED-4514-B551-FB39632A67E9}"/>
              </c:ext>
            </c:extLst>
          </c:dPt>
          <c:dPt>
            <c:idx val="13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1ED-4514-B551-FB39632A6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'Original Data'!$B$3:$O$3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  <c:pt idx="13">
                  <c:v>Percent of Total</c:v>
                </c:pt>
              </c:strCache>
            </c:strRef>
          </c:cat>
          <c:val>
            <c:numRef>
              <c:f>'Original Data'!$B$4:$O$4</c:f>
              <c:numCache>
                <c:formatCode>_("$"* #,##0.00_);_("$"* \(#,##0.00\);_("$"* "-"??_);_(@_)</c:formatCode>
                <c:ptCount val="14"/>
                <c:pt idx="0">
                  <c:v>10000</c:v>
                </c:pt>
                <c:pt idx="1">
                  <c:v>10750</c:v>
                </c:pt>
                <c:pt idx="2">
                  <c:v>11556.25</c:v>
                </c:pt>
                <c:pt idx="3">
                  <c:v>12422.97</c:v>
                </c:pt>
                <c:pt idx="4">
                  <c:v>13354.69</c:v>
                </c:pt>
                <c:pt idx="5">
                  <c:v>14356.29</c:v>
                </c:pt>
                <c:pt idx="6">
                  <c:v>15433.01</c:v>
                </c:pt>
                <c:pt idx="7">
                  <c:v>16590.490000000002</c:v>
                </c:pt>
                <c:pt idx="8">
                  <c:v>17834.78</c:v>
                </c:pt>
                <c:pt idx="9">
                  <c:v>19172.39</c:v>
                </c:pt>
                <c:pt idx="10">
                  <c:v>20610.32</c:v>
                </c:pt>
                <c:pt idx="11">
                  <c:v>22156.09</c:v>
                </c:pt>
                <c:pt idx="12">
                  <c:v>184237.28</c:v>
                </c:pt>
                <c:pt idx="13" formatCode="0.000%">
                  <c:v>0.92773729960196338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1ED-4514-B551-FB39632A67E9}"/>
            </c:ext>
          </c:extLst>
        </c:ser>
        <c:ser>
          <c:idx val="1"/>
          <c:order val="1"/>
          <c:tx>
            <c:strRef>
              <c:f>'Original Data'!$A$5</c:f>
              <c:strCache>
                <c:ptCount val="1"/>
                <c:pt idx="0">
                  <c:v>Beverage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B1ED-4514-B551-FB39632A67E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1ED-4514-B551-FB39632A67E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B1ED-4514-B551-FB39632A67E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1ED-4514-B551-FB39632A67E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B1ED-4514-B551-FB39632A67E9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1ED-4514-B551-FB39632A67E9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1ED-4514-B551-FB39632A67E9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1ED-4514-B551-FB39632A67E9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B1ED-4514-B551-FB39632A67E9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B1ED-4514-B551-FB39632A67E9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B1ED-4514-B551-FB39632A67E9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B1ED-4514-B551-FB39632A67E9}"/>
              </c:ext>
            </c:extLst>
          </c:dPt>
          <c:dPt>
            <c:idx val="12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B1ED-4514-B551-FB39632A67E9}"/>
              </c:ext>
            </c:extLst>
          </c:dPt>
          <c:dPt>
            <c:idx val="13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B1ED-4514-B551-FB39632A6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'Original Data'!$B$3:$O$3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  <c:pt idx="13">
                  <c:v>Percent of Total</c:v>
                </c:pt>
              </c:strCache>
            </c:strRef>
          </c:cat>
          <c:val>
            <c:numRef>
              <c:f>'Original Data'!$B$5:$O$5</c:f>
              <c:numCache>
                <c:formatCode>_("$"* #,##0.00_);_("$"* \(#,##0.00\);_("$"* "-"??_);_(@_)</c:formatCode>
                <c:ptCount val="14"/>
                <c:pt idx="0">
                  <c:v>2000</c:v>
                </c:pt>
                <c:pt idx="1">
                  <c:v>85</c:v>
                </c:pt>
                <c:pt idx="2">
                  <c:v>3.6125000000000003</c:v>
                </c:pt>
                <c:pt idx="3">
                  <c:v>0.15353125000000004</c:v>
                </c:pt>
                <c:pt idx="4">
                  <c:v>6.5250781250000018E-3</c:v>
                </c:pt>
                <c:pt idx="5">
                  <c:v>2.7731582031250009E-4</c:v>
                </c:pt>
                <c:pt idx="6">
                  <c:v>1.1785922363281256E-5</c:v>
                </c:pt>
                <c:pt idx="7">
                  <c:v>5.0090170043945336E-7</c:v>
                </c:pt>
                <c:pt idx="8">
                  <c:v>2.1288322268676768E-8</c:v>
                </c:pt>
                <c:pt idx="9">
                  <c:v>9.0475369641876274E-10</c:v>
                </c:pt>
                <c:pt idx="10">
                  <c:v>3.8452032097797419E-11</c:v>
                </c:pt>
                <c:pt idx="11">
                  <c:v>1.6342113641563903E-12</c:v>
                </c:pt>
                <c:pt idx="12">
                  <c:v>2088.7728459530031</c:v>
                </c:pt>
                <c:pt idx="13" formatCode="0.000%">
                  <c:v>1.0518134438297976E-2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B1ED-4514-B551-FB39632A67E9}"/>
            </c:ext>
          </c:extLst>
        </c:ser>
        <c:ser>
          <c:idx val="2"/>
          <c:order val="2"/>
          <c:tx>
            <c:strRef>
              <c:f>'Original Data'!$A$6</c:f>
              <c:strCache>
                <c:ptCount val="1"/>
                <c:pt idx="0">
                  <c:v>Take-out Food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1ED-4514-B551-FB39632A67E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1ED-4514-B551-FB39632A67E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1ED-4514-B551-FB39632A67E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1ED-4514-B551-FB39632A67E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1ED-4514-B551-FB39632A67E9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1ED-4514-B551-FB39632A67E9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1ED-4514-B551-FB39632A67E9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1ED-4514-B551-FB39632A67E9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1ED-4514-B551-FB39632A67E9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1ED-4514-B551-FB39632A67E9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1ED-4514-B551-FB39632A67E9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B1ED-4514-B551-FB39632A67E9}"/>
              </c:ext>
            </c:extLst>
          </c:dPt>
          <c:dPt>
            <c:idx val="12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B1ED-4514-B551-FB39632A67E9}"/>
              </c:ext>
            </c:extLst>
          </c:dPt>
          <c:dPt>
            <c:idx val="13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B1ED-4514-B551-FB39632A6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'Original Data'!$B$3:$O$3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  <c:pt idx="13">
                  <c:v>Percent of Total</c:v>
                </c:pt>
              </c:strCache>
            </c:strRef>
          </c:cat>
          <c:val>
            <c:numRef>
              <c:f>'Original Data'!$B$6:$O$6</c:f>
              <c:numCache>
                <c:formatCode>_("$"* #,##0.00_);_("$"* \(#,##0.00\);_("$"* "-"??_);_(@_)</c:formatCode>
                <c:ptCount val="14"/>
                <c:pt idx="0">
                  <c:v>600</c:v>
                </c:pt>
                <c:pt idx="1">
                  <c:v>631.5</c:v>
                </c:pt>
                <c:pt idx="2">
                  <c:v>664.65374999999995</c:v>
                </c:pt>
                <c:pt idx="3">
                  <c:v>699.54807187499989</c:v>
                </c:pt>
                <c:pt idx="4">
                  <c:v>736.27434564843736</c:v>
                </c:pt>
                <c:pt idx="5">
                  <c:v>774.92874879498027</c:v>
                </c:pt>
                <c:pt idx="6">
                  <c:v>815.61250810671675</c:v>
                </c:pt>
                <c:pt idx="7">
                  <c:v>858.43216478231932</c:v>
                </c:pt>
                <c:pt idx="8">
                  <c:v>903.49985343339108</c:v>
                </c:pt>
                <c:pt idx="9">
                  <c:v>950.93359573864416</c:v>
                </c:pt>
                <c:pt idx="10">
                  <c:v>1000.857609514923</c:v>
                </c:pt>
                <c:pt idx="11">
                  <c:v>1053.4026340144565</c:v>
                </c:pt>
                <c:pt idx="12">
                  <c:v>9689.6432819088659</c:v>
                </c:pt>
                <c:pt idx="13" formatCode="0.000%">
                  <c:v>4.8792749721795925E-2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B1ED-4514-B551-FB39632A67E9}"/>
            </c:ext>
          </c:extLst>
        </c:ser>
        <c:ser>
          <c:idx val="3"/>
          <c:order val="3"/>
          <c:tx>
            <c:strRef>
              <c:f>'Original Data'!$A$7</c:f>
              <c:strCache>
                <c:ptCount val="1"/>
                <c:pt idx="0">
                  <c:v>Take-out Beverage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B1ED-4514-B551-FB39632A67E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B1ED-4514-B551-FB39632A67E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B1ED-4514-B551-FB39632A67E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B1ED-4514-B551-FB39632A67E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B1ED-4514-B551-FB39632A67E9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B1ED-4514-B551-FB39632A67E9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B1ED-4514-B551-FB39632A67E9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B1ED-4514-B551-FB39632A67E9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B1ED-4514-B551-FB39632A67E9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B1ED-4514-B551-FB39632A67E9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B1ED-4514-B551-FB39632A67E9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B1ED-4514-B551-FB39632A67E9}"/>
              </c:ext>
            </c:extLst>
          </c:dPt>
          <c:dPt>
            <c:idx val="12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B1ED-4514-B551-FB39632A67E9}"/>
              </c:ext>
            </c:extLst>
          </c:dPt>
          <c:dPt>
            <c:idx val="13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B1ED-4514-B551-FB39632A6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'Original Data'!$B$3:$O$3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 Revenue</c:v>
                </c:pt>
                <c:pt idx="13">
                  <c:v>Percent of Total</c:v>
                </c:pt>
              </c:strCache>
            </c:strRef>
          </c:cat>
          <c:val>
            <c:numRef>
              <c:f>'Original Data'!$B$7:$O$7</c:f>
              <c:numCache>
                <c:formatCode>_("$"* #,##0.00_);_("$"* \(#,##0.00\);_("$"* "-"??_);_(@_)</c:formatCode>
                <c:ptCount val="14"/>
                <c:pt idx="0">
                  <c:v>200</c:v>
                </c:pt>
                <c:pt idx="1">
                  <c:v>202.5</c:v>
                </c:pt>
                <c:pt idx="2">
                  <c:v>205.03125</c:v>
                </c:pt>
                <c:pt idx="3">
                  <c:v>207.59414062499999</c:v>
                </c:pt>
                <c:pt idx="4">
                  <c:v>210.18906738281248</c:v>
                </c:pt>
                <c:pt idx="5">
                  <c:v>212.81643072509763</c:v>
                </c:pt>
                <c:pt idx="6">
                  <c:v>215.47663610916135</c:v>
                </c:pt>
                <c:pt idx="7">
                  <c:v>218.17009406052586</c:v>
                </c:pt>
                <c:pt idx="8">
                  <c:v>220.89722023628241</c:v>
                </c:pt>
                <c:pt idx="9">
                  <c:v>223.65843548923593</c:v>
                </c:pt>
                <c:pt idx="10">
                  <c:v>226.45416593285137</c:v>
                </c:pt>
                <c:pt idx="11">
                  <c:v>229.284843007012</c:v>
                </c:pt>
                <c:pt idx="12">
                  <c:v>2572.0722835679794</c:v>
                </c:pt>
                <c:pt idx="13" formatCode="0.000%">
                  <c:v>1.2951816237942792E-2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B1ED-4514-B551-FB39632A67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'Original Data'!$B$3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Data'!$B$4:$B$8</c:f>
              <c:numCache>
                <c:formatCode>_("$"* #,##0.00_);_("$"* \(#,##0.00\);_("$"* "-"??_);_(@_)</c:formatCode>
                <c:ptCount val="5"/>
                <c:pt idx="0">
                  <c:v>10000</c:v>
                </c:pt>
                <c:pt idx="1">
                  <c:v>2000</c:v>
                </c:pt>
                <c:pt idx="2">
                  <c:v>600</c:v>
                </c:pt>
                <c:pt idx="3">
                  <c:v>200</c:v>
                </c:pt>
                <c:pt idx="4">
                  <c:v>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5-4BE9-8A2E-96EA3F6935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4624480"/>
        <c:axId val="865235360"/>
      </c:barChart>
      <c:catAx>
        <c:axId val="78462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35360"/>
        <c:crosses val="autoZero"/>
        <c:auto val="1"/>
        <c:lblAlgn val="ctr"/>
        <c:lblOffset val="100"/>
        <c:noMultiLvlLbl val="0"/>
      </c:catAx>
      <c:valAx>
        <c:axId val="8652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2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'Original Data'!$E$3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'Original Data'!$E$10:$E$15</c:f>
              <c:numCache>
                <c:formatCode>_("$"* #,##0.00_);_("$"* \(#,##0.00\);_("$"* "-"??_);_(@_)</c:formatCode>
                <c:ptCount val="6"/>
                <c:pt idx="0">
                  <c:v>5062.3602749999991</c:v>
                </c:pt>
                <c:pt idx="1">
                  <c:v>5.0281484375000011E-2</c:v>
                </c:pt>
                <c:pt idx="2">
                  <c:v>267.58</c:v>
                </c:pt>
                <c:pt idx="3">
                  <c:v>50.341579101562495</c:v>
                </c:pt>
                <c:pt idx="5">
                  <c:v>5380.3321355859362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F-4BAD-AEB3-C26AC8C4BC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0217568"/>
        <c:axId val="900210008"/>
      </c:barChart>
      <c:catAx>
        <c:axId val="900217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10008"/>
        <c:crosses val="autoZero"/>
        <c:auto val="1"/>
        <c:lblAlgn val="ctr"/>
        <c:lblOffset val="100"/>
        <c:noMultiLvlLbl val="0"/>
      </c:catAx>
      <c:valAx>
        <c:axId val="90021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  <a:r>
                  <a:rPr lang="en-US" baseline="0"/>
                  <a:t> of Goods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1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7"/>
          <c:order val="7"/>
          <c:tx>
            <c:strRef>
              <c:f>'Original Data'!$A$33</c:f>
              <c:strCache>
                <c:ptCount val="1"/>
                <c:pt idx="0">
                  <c:v>Total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4-49EC-AE9B-CF6B4AA2A2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A4-49EC-AE9B-CF6B4AA2A2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A4-49EC-AE9B-CF6B4AA2A2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A4-49EC-AE9B-CF6B4AA2A2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A4-49EC-AE9B-CF6B4AA2A2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A4-49EC-AE9B-CF6B4AA2A2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A4-49EC-AE9B-CF6B4AA2A2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9A4-49EC-AE9B-CF6B4AA2A2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9A4-49EC-AE9B-CF6B4AA2A2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9A4-49EC-AE9B-CF6B4AA2A2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9A4-49EC-AE9B-CF6B4AA2A2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9A4-49EC-AE9B-CF6B4AA2A25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'Original Data'!$B$25:$O$25</c15:sqref>
                  </c15:fullRef>
                </c:ext>
              </c:extLst>
              <c:f>'Original Data'!$B$25:$M$25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'Original Data'!$B$33:$O$33</c15:sqref>
                  </c15:fullRef>
                </c:ext>
              </c:extLst>
              <c:f>'Original Data'!$B$33:$M$33</c:f>
              <c:numCache>
                <c:formatCode>_("$"* #,##0.00_);_("$"* \(#,##0.00\);_("$"* "-"??_);_(@_)</c:formatCode>
                <c:ptCount val="12"/>
                <c:pt idx="0">
                  <c:v>7200</c:v>
                </c:pt>
                <c:pt idx="1">
                  <c:v>6337</c:v>
                </c:pt>
                <c:pt idx="2">
                  <c:v>6308.8</c:v>
                </c:pt>
                <c:pt idx="3">
                  <c:v>6311.4400000000005</c:v>
                </c:pt>
                <c:pt idx="4">
                  <c:v>6315.28</c:v>
                </c:pt>
                <c:pt idx="5">
                  <c:v>6319.22</c:v>
                </c:pt>
                <c:pt idx="6">
                  <c:v>6323.21</c:v>
                </c:pt>
                <c:pt idx="7">
                  <c:v>6327.25</c:v>
                </c:pt>
                <c:pt idx="8">
                  <c:v>6331.34</c:v>
                </c:pt>
                <c:pt idx="9">
                  <c:v>6335.48</c:v>
                </c:pt>
                <c:pt idx="10">
                  <c:v>6339.67</c:v>
                </c:pt>
                <c:pt idx="11">
                  <c:v>6343.92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'Original Data'!$N$33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'Original Data'!$O$33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8-A9A4-49EC-AE9B-CF6B4AA2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'Original Data'!$A$26</c15:sqref>
                        </c15:formulaRef>
                      </c:ext>
                    </c:extLst>
                    <c:strCache>
                      <c:ptCount val="1"/>
                      <c:pt idx="0">
                        <c:v>Expenses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A9A4-49EC-AE9B-CF6B4AA2A251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'Original Data'!$B$26:$O$26</c15:sqref>
                        </c15:fullRef>
                        <c15:formulaRef>
                          <c15:sqref>'Original Data'!$B$26:$M$26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'Original Data'!$N$26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Data'!$O$26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31-A9A4-49EC-AE9B-CF6B4AA2A25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Data'!$A$27</c15:sqref>
                        </c15:formulaRef>
                      </c:ext>
                    </c:extLst>
                    <c:strCache>
                      <c:ptCount val="1"/>
                      <c:pt idx="0">
                        <c:v>Payroll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Data'!$B$27:$O$27</c15:sqref>
                        </c15:fullRef>
                        <c15:formulaRef>
                          <c15:sqref>'Original Data'!$B$27:$M$27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5000</c:v>
                      </c:pt>
                      <c:pt idx="1">
                        <c:v>5000</c:v>
                      </c:pt>
                      <c:pt idx="2">
                        <c:v>5000</c:v>
                      </c:pt>
                      <c:pt idx="3">
                        <c:v>5000</c:v>
                      </c:pt>
                      <c:pt idx="4">
                        <c:v>5000</c:v>
                      </c:pt>
                      <c:pt idx="5">
                        <c:v>5000</c:v>
                      </c:pt>
                      <c:pt idx="6">
                        <c:v>5000</c:v>
                      </c:pt>
                      <c:pt idx="7">
                        <c:v>5000</c:v>
                      </c:pt>
                      <c:pt idx="8">
                        <c:v>5000</c:v>
                      </c:pt>
                      <c:pt idx="9">
                        <c:v>5000</c:v>
                      </c:pt>
                      <c:pt idx="10">
                        <c:v>5000</c:v>
                      </c:pt>
                      <c:pt idx="11">
                        <c:v>5000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Data'!$N$27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Data'!$O$27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4A-A9A4-49EC-AE9B-CF6B4AA2A25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Data'!$A$28</c15:sqref>
                        </c15:formulaRef>
                      </c:ext>
                    </c:extLst>
                    <c:strCache>
                      <c:ptCount val="1"/>
                      <c:pt idx="0">
                        <c:v>Insurance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2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Data'!$B$28:$O$28</c15:sqref>
                        </c15:fullRef>
                        <c15:formulaRef>
                          <c15:sqref>'Original Data'!$B$28:$M$28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Data'!$N$28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Data'!$O$28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63-A9A4-49EC-AE9B-CF6B4AA2A251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Data'!$A$29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Data'!$B$29:$O$29</c15:sqref>
                        </c15:fullRef>
                        <c15:formulaRef>
                          <c15:sqref>'Original Data'!$B$29:$M$29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500</c:v>
                      </c:pt>
                      <c:pt idx="1">
                        <c:v>16.25</c:v>
                      </c:pt>
                      <c:pt idx="2">
                        <c:v>0.53</c:v>
                      </c:pt>
                      <c:pt idx="3">
                        <c:v>0.02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Data'!$N$29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Data'!$O$29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7C-A9A4-49EC-AE9B-CF6B4AA2A251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Data'!$A$30</c15:sqref>
                        </c15:formulaRef>
                      </c:ext>
                    </c:extLst>
                    <c:strCache>
                      <c:ptCount val="1"/>
                      <c:pt idx="0">
                        <c:v>Advertising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E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0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2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4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6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A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C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E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0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2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4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Data'!$B$30:$O$30</c15:sqref>
                        </c15:fullRef>
                        <c15:formulaRef>
                          <c15:sqref>'Original Data'!$B$30:$M$30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400</c:v>
                      </c:pt>
                      <c:pt idx="1">
                        <c:v>17</c:v>
                      </c:pt>
                      <c:pt idx="2">
                        <c:v>0.72</c:v>
                      </c:pt>
                      <c:pt idx="3">
                        <c:v>0.03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Data'!$N$30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Data'!$O$30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95-A9A4-49EC-AE9B-CF6B4AA2A251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Data'!$A$31</c15:sqref>
                        </c15:formulaRef>
                      </c:ext>
                    </c:extLst>
                    <c:strCache>
                      <c:ptCount val="1"/>
                      <c:pt idx="0">
                        <c:v>Miscellaneous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7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9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B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D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F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1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3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5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Data'!$B$31:$O$31</c15:sqref>
                        </c15:fullRef>
                        <c15:formulaRef>
                          <c15:sqref>'Original Data'!$B$31:$M$31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300</c:v>
                      </c:pt>
                      <c:pt idx="1">
                        <c:v>303.75</c:v>
                      </c:pt>
                      <c:pt idx="2">
                        <c:v>307.55</c:v>
                      </c:pt>
                      <c:pt idx="3">
                        <c:v>311.39</c:v>
                      </c:pt>
                      <c:pt idx="4">
                        <c:v>315.27999999999997</c:v>
                      </c:pt>
                      <c:pt idx="5">
                        <c:v>319.22000000000003</c:v>
                      </c:pt>
                      <c:pt idx="6">
                        <c:v>323.20999999999998</c:v>
                      </c:pt>
                      <c:pt idx="7">
                        <c:v>327.25</c:v>
                      </c:pt>
                      <c:pt idx="8">
                        <c:v>331.34</c:v>
                      </c:pt>
                      <c:pt idx="9">
                        <c:v>335.48</c:v>
                      </c:pt>
                      <c:pt idx="10">
                        <c:v>339.67</c:v>
                      </c:pt>
                      <c:pt idx="11">
                        <c:v>343.92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Data'!$N$31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  <c15:categoryFilterException>
                        <c15:sqref>'Original Data'!$O$31</c15:sqref>
                        <c15:spPr xmlns:c15="http://schemas.microsoft.com/office/drawing/2012/chart">
                          <a:solidFill>
                            <a:schemeClr val="accent2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AE-A9A4-49EC-AE9B-CF6B4AA2A251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'Original Data'!$A$32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0-A9A4-49EC-AE9B-CF6B4AA2A2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2-A9A4-49EC-AE9B-CF6B4AA2A25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4-A9A4-49EC-AE9B-CF6B4AA2A25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6-A9A4-49EC-AE9B-CF6B4AA2A25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8-A9A4-49EC-AE9B-CF6B4AA2A25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A-A9A4-49EC-AE9B-CF6B4AA2A25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C-A9A4-49EC-AE9B-CF6B4AA2A25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E-A9A4-49EC-AE9B-CF6B4AA2A25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0-A9A4-49EC-AE9B-CF6B4AA2A25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2-A9A4-49EC-AE9B-CF6B4AA2A25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4-A9A4-49EC-AE9B-CF6B4AA2A25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6-A9A4-49EC-AE9B-CF6B4AA2A25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'Original Data'!$B$25:$O$25</c15:sqref>
                        </c15:fullRef>
                        <c15:formulaRef>
                          <c15:sqref>'Original Data'!$B$25:$M$25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'Original Data'!$B$32:$O$32</c15:sqref>
                        </c15:fullRef>
                        <c15:formulaRef>
                          <c15:sqref>'Original Data'!$B$32:$M$32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'Original Data'!$N$32</c15:sqref>
                        <c15:spPr xmlns:c15="http://schemas.microsoft.com/office/drawing/2012/chart">
                          <a:solidFill>
                            <a:schemeClr val="accent1">
                              <a:lumMod val="80000"/>
                              <a:lumOff val="20000"/>
                            </a:schemeClr>
                          </a:solidFill>
                          <a:ln w="19050">
                            <a:solidFill>
                              <a:schemeClr val="lt1"/>
                            </a:solidFill>
                          </a:ln>
                          <a:effectLst/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C7-A9A4-49EC-AE9B-CF6B4AA2A25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'Original Data'!$H$25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'Original Data'!$H$26:$H$33</c:f>
              <c:numCache>
                <c:formatCode>0.00</c:formatCode>
                <c:ptCount val="8"/>
                <c:pt idx="1">
                  <c:v>5000</c:v>
                </c:pt>
                <c:pt idx="2">
                  <c:v>1000</c:v>
                </c:pt>
                <c:pt idx="3">
                  <c:v>0</c:v>
                </c:pt>
                <c:pt idx="4">
                  <c:v>0</c:v>
                </c:pt>
                <c:pt idx="5">
                  <c:v>323.20999999999998</c:v>
                </c:pt>
                <c:pt idx="7" formatCode="_(&quot;$&quot;* #,##0.00_);_(&quot;$&quot;* \(#,##0.00\);_(&quot;$&quot;* &quot;-&quot;??_);_(@_)">
                  <c:v>6323.21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5-4573-868B-3790CCFB3B12}"/>
            </c:ext>
          </c:extLst>
        </c:ser>
        <c:ser>
          <c:idx val="1"/>
          <c:order val="1"/>
          <c:tx>
            <c:strRef>
              <c:f>'Original Data'!$A$26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'Original Data'!$A$27:$A$33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5-4573-868B-3790CCFB3B12}"/>
            </c:ext>
          </c:extLst>
        </c:ser>
        <c:ser>
          <c:idx val="2"/>
          <c:order val="2"/>
          <c:tx>
            <c:strRef>
              <c:f>'Original Data'!$N$25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'Original Data'!$N$26:$N$33</c:f>
              <c:numCache>
                <c:formatCode>0.00</c:formatCode>
                <c:ptCount val="8"/>
                <c:pt idx="1">
                  <c:v>60000</c:v>
                </c:pt>
                <c:pt idx="2">
                  <c:v>12000</c:v>
                </c:pt>
                <c:pt idx="3">
                  <c:v>516.79999999999995</c:v>
                </c:pt>
                <c:pt idx="4">
                  <c:v>417.75</c:v>
                </c:pt>
                <c:pt idx="5">
                  <c:v>3858.0600000000004</c:v>
                </c:pt>
                <c:pt idx="7" formatCode="_(&quot;$&quot;* #,##0.00_);_(&quot;$&quot;* \(#,##0.00\);_(&quot;$&quot;* &quot;-&quot;??_);_(@_)">
                  <c:v>76792.609999999986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5-4573-868B-3790CCFB3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944808"/>
        <c:axId val="900941208"/>
      </c:lineChart>
      <c:catAx>
        <c:axId val="900944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41208"/>
        <c:crosses val="autoZero"/>
        <c:auto val="1"/>
        <c:lblAlgn val="ctr"/>
        <c:lblOffset val="100"/>
        <c:noMultiLvlLbl val="0"/>
      </c:catAx>
      <c:valAx>
        <c:axId val="90094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4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'Original Data'!$K$25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('Original Data'!$K$37,'Original Data'!$K$41)</c:f>
              <c:numCache>
                <c:formatCode>_("$"* #,##0.00_);_("$"* \(#,##0.00\);_("$"* "-"??_);_(@_)</c:formatCode>
                <c:ptCount val="2"/>
                <c:pt idx="0">
                  <c:v>130.07</c:v>
                </c:pt>
                <c:pt idx="1">
                  <c:v>1274.6600000000001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7-44B4-A82C-7FB71A315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855928"/>
        <c:axId val="772853048"/>
      </c:areaChart>
      <c:catAx>
        <c:axId val="772855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53048"/>
        <c:crosses val="autoZero"/>
        <c:auto val="1"/>
        <c:lblAlgn val="ctr"/>
        <c:lblOffset val="100"/>
        <c:noMultiLvlLbl val="0"/>
      </c:catAx>
      <c:valAx>
        <c:axId val="77285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55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Data'!$B$3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Data'!$B$4:$B$8</c:f>
              <c:numCache>
                <c:formatCode>_("$"* #,##0.00_);_("$"* \(#,##0.00\);_("$"* "-"??_);_(@_)</c:formatCode>
                <c:ptCount val="5"/>
                <c:pt idx="0">
                  <c:v>10000</c:v>
                </c:pt>
                <c:pt idx="1">
                  <c:v>2000</c:v>
                </c:pt>
                <c:pt idx="2">
                  <c:v>600</c:v>
                </c:pt>
                <c:pt idx="3">
                  <c:v>200</c:v>
                </c:pt>
                <c:pt idx="4">
                  <c:v>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F-4967-9CCD-48615ADC8D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1029352"/>
        <c:axId val="871029712"/>
      </c:barChart>
      <c:catAx>
        <c:axId val="871029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29712"/>
        <c:crosses val="autoZero"/>
        <c:auto val="1"/>
        <c:lblAlgn val="ctr"/>
        <c:lblOffset val="100"/>
        <c:noMultiLvlLbl val="0"/>
      </c:catAx>
      <c:valAx>
        <c:axId val="8710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2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Data'!$C$3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Data'!$C$4:$C$8</c:f>
              <c:numCache>
                <c:formatCode>_("$"* #,##0.00_);_("$"* \(#,##0.00\);_("$"* "-"??_);_(@_)</c:formatCode>
                <c:ptCount val="5"/>
                <c:pt idx="0">
                  <c:v>10750</c:v>
                </c:pt>
                <c:pt idx="1">
                  <c:v>85</c:v>
                </c:pt>
                <c:pt idx="2">
                  <c:v>631.5</c:v>
                </c:pt>
                <c:pt idx="3">
                  <c:v>202.5</c:v>
                </c:pt>
                <c:pt idx="4">
                  <c:v>11669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0-4388-9413-D62AE4798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3574104"/>
        <c:axId val="773579144"/>
      </c:barChart>
      <c:catAx>
        <c:axId val="773574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79144"/>
        <c:crosses val="autoZero"/>
        <c:auto val="1"/>
        <c:lblAlgn val="ctr"/>
        <c:lblOffset val="100"/>
        <c:noMultiLvlLbl val="0"/>
      </c:catAx>
      <c:valAx>
        <c:axId val="77357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7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Data'!$D$3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Data'!$D$4:$D$8</c:f>
              <c:numCache>
                <c:formatCode>_("$"* #,##0.00_);_("$"* \(#,##0.00\);_("$"* "-"??_);_(@_)</c:formatCode>
                <c:ptCount val="5"/>
                <c:pt idx="0">
                  <c:v>11556.25</c:v>
                </c:pt>
                <c:pt idx="1">
                  <c:v>3.6125000000000003</c:v>
                </c:pt>
                <c:pt idx="2">
                  <c:v>664.65374999999995</c:v>
                </c:pt>
                <c:pt idx="3">
                  <c:v>205.03125</c:v>
                </c:pt>
                <c:pt idx="4">
                  <c:v>12429.547499999999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1-47C3-AFF3-A9C91FE69C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8304464"/>
        <c:axId val="788305904"/>
      </c:barChart>
      <c:catAx>
        <c:axId val="78830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05904"/>
        <c:crosses val="autoZero"/>
        <c:auto val="1"/>
        <c:lblAlgn val="ctr"/>
        <c:lblOffset val="100"/>
        <c:noMultiLvlLbl val="0"/>
      </c:catAx>
      <c:valAx>
        <c:axId val="78830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0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Data'!$E$3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Data'!$E$4:$E$8</c:f>
              <c:numCache>
                <c:formatCode>_("$"* #,##0.00_);_("$"* \(#,##0.00\);_("$"* "-"??_);_(@_)</c:formatCode>
                <c:ptCount val="5"/>
                <c:pt idx="0">
                  <c:v>12422.97</c:v>
                </c:pt>
                <c:pt idx="1">
                  <c:v>0.15353125000000004</c:v>
                </c:pt>
                <c:pt idx="2">
                  <c:v>699.54807187499989</c:v>
                </c:pt>
                <c:pt idx="3">
                  <c:v>207.59414062499999</c:v>
                </c:pt>
                <c:pt idx="4">
                  <c:v>13330.26574375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1-4841-9171-47CB1A50A0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2110232"/>
        <c:axId val="1012108792"/>
      </c:barChart>
      <c:catAx>
        <c:axId val="1012110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8792"/>
        <c:crosses val="autoZero"/>
        <c:auto val="1"/>
        <c:lblAlgn val="ctr"/>
        <c:lblOffset val="100"/>
        <c:noMultiLvlLbl val="0"/>
      </c:catAx>
      <c:valAx>
        <c:axId val="101210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Data'!$F$3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Data'!$F$4:$F$8</c:f>
              <c:numCache>
                <c:formatCode>_("$"* #,##0.00_);_("$"* \(#,##0.00\);_("$"* "-"??_);_(@_)</c:formatCode>
                <c:ptCount val="5"/>
                <c:pt idx="0">
                  <c:v>13354.69</c:v>
                </c:pt>
                <c:pt idx="1">
                  <c:v>6.5250781250000018E-3</c:v>
                </c:pt>
                <c:pt idx="2">
                  <c:v>736.27434564843736</c:v>
                </c:pt>
                <c:pt idx="3">
                  <c:v>210.18906738281248</c:v>
                </c:pt>
                <c:pt idx="4">
                  <c:v>14301.159938109375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D-4BB9-9F89-591D07F11C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6838192"/>
        <c:axId val="896833872"/>
      </c:barChart>
      <c:catAx>
        <c:axId val="896838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33872"/>
        <c:crosses val="autoZero"/>
        <c:auto val="1"/>
        <c:lblAlgn val="ctr"/>
        <c:lblOffset val="100"/>
        <c:noMultiLvlLbl val="0"/>
      </c:catAx>
      <c:valAx>
        <c:axId val="89683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3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Data'!$G$3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Data'!$G$4:$G$8</c:f>
              <c:numCache>
                <c:formatCode>_("$"* #,##0.00_);_("$"* \(#,##0.00\);_("$"* "-"??_);_(@_)</c:formatCode>
                <c:ptCount val="5"/>
                <c:pt idx="0">
                  <c:v>14356.29</c:v>
                </c:pt>
                <c:pt idx="1">
                  <c:v>2.7731582031250009E-4</c:v>
                </c:pt>
                <c:pt idx="2">
                  <c:v>774.92874879498027</c:v>
                </c:pt>
                <c:pt idx="3">
                  <c:v>212.81643072509763</c:v>
                </c:pt>
                <c:pt idx="4">
                  <c:v>15344.035456835898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F-4DB3-96AB-A4305E64AB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4466568"/>
        <c:axId val="814468368"/>
      </c:barChart>
      <c:catAx>
        <c:axId val="814466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68368"/>
        <c:crosses val="autoZero"/>
        <c:auto val="1"/>
        <c:lblAlgn val="ctr"/>
        <c:lblOffset val="100"/>
        <c:noMultiLvlLbl val="0"/>
      </c:catAx>
      <c:valAx>
        <c:axId val="8144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66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'Original Data'!$H$3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'Original Data'!$A$4:$A$8</c:f>
              <c:strCache>
                <c:ptCount val="5"/>
                <c:pt idx="0">
                  <c:v>Food </c:v>
                </c:pt>
                <c:pt idx="1">
                  <c:v>Beverage</c:v>
                </c:pt>
                <c:pt idx="2">
                  <c:v>Take-out Food</c:v>
                </c:pt>
                <c:pt idx="3">
                  <c:v>Take-out Beverage</c:v>
                </c:pt>
                <c:pt idx="4">
                  <c:v>Total </c:v>
                </c:pt>
              </c:strCache>
            </c:strRef>
          </c:cat>
          <c:val>
            <c:numRef>
              <c:f>'Original Data'!$H$4:$H$8</c:f>
              <c:numCache>
                <c:formatCode>_("$"* #,##0.00_);_("$"* \(#,##0.00\);_("$"* "-"??_);_(@_)</c:formatCode>
                <c:ptCount val="5"/>
                <c:pt idx="0">
                  <c:v>15433.01</c:v>
                </c:pt>
                <c:pt idx="1">
                  <c:v>1.1785922363281256E-5</c:v>
                </c:pt>
                <c:pt idx="2">
                  <c:v>815.61250810671675</c:v>
                </c:pt>
                <c:pt idx="3">
                  <c:v>215.47663610916135</c:v>
                </c:pt>
                <c:pt idx="4">
                  <c:v>16464.099156001801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0-46F0-B47F-AB8EACB85B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4467288"/>
        <c:axId val="814468728"/>
      </c:barChart>
      <c:catAx>
        <c:axId val="814467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68728"/>
        <c:crosses val="autoZero"/>
        <c:auto val="1"/>
        <c:lblAlgn val="ctr"/>
        <c:lblOffset val="100"/>
        <c:noMultiLvlLbl val="0"/>
      </c:catAx>
      <c:valAx>
        <c:axId val="81446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6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665A5E-3BA2-4CAD-9910-D7F1C955DC5A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056819-D7B0-4987-8DEB-6BCE66D6F070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DEA542-1616-43F0-A97F-1D841CACC2BF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2CEA3C-528C-434F-B27E-5662A54E7235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EB9966-1D6C-4535-8102-F7BD7CAB9325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046F95-9E44-434A-90E5-79BF14312F9E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0C3A9D-477F-499A-A4AA-5F573420AF42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F6D37D-D5EC-4CBE-BEF1-F86B30F15FCF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2A7869-F551-4CB3-90F4-2EAF6E224101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4B78875-D945-4288-97B2-D870E1E0060D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FCA2AD-4A99-49F7-85B7-AF6D9FB4C663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1DDE94-D3F7-41ED-8DCF-4BF718898A24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824AEA-D695-43B9-8A2F-7B129600F03C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5A6C21-8676-4558-9ED0-F9039FC373FB}">
  <sheetPr/>
  <sheetViews>
    <sheetView zoomScale="150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4A8507-9BDF-49F0-A2F7-FA8C3B50F49F}">
  <sheetPr/>
  <sheetViews>
    <sheetView zoomScale="150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AB6E64-1C8D-47B9-9E7A-2DB0DD4A22EA}">
  <sheetPr/>
  <sheetViews>
    <sheetView zoomScale="150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2AFD62-3D50-498E-93C3-A45ED202892E}">
  <sheetPr/>
  <sheetViews>
    <sheetView zoomScale="1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2D273-D412-33FC-6ACF-6535F5B48D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7A2ED-6101-B880-9B17-A5E94EC6AF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B7981-9D45-683A-DC1C-32E155CFFA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8661F-C0DE-DB52-1763-00A1CC4C57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0E889-7841-25A5-74EE-2F33A2035A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6965B-96A8-CC3A-E376-FC775C1885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CF4DE-1D3F-7E83-95C3-D362DB5C4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BE414-C4AF-D0E8-89E3-7040DA8883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80734-F9A9-CAD8-A9D1-D8C8D3FA64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3BBDD-CE33-6AB2-1918-0FA019BBDC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8B5C8-8CDE-172A-75A9-55D6F72406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E4385-5D93-2306-5EF0-CC016295B2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46A3B-C47A-670E-13DA-95C8E0B345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D6742-CA0D-55F6-BC4A-3211AA548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0C9CB-0E75-3060-CB8F-9ED890CE2D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89CC3-CA55-9495-204D-858BEF070E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DD5C6-9CFB-471A-E9BB-6CF5F0BD8C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8930-9FFF-4C9F-A6A2-33ABC11B7290}">
  <sheetPr>
    <tabColor theme="9" tint="0.39997558519241921"/>
  </sheetPr>
  <dimension ref="A1:O45"/>
  <sheetViews>
    <sheetView tabSelected="1" zoomScale="127" zoomScaleNormal="135" workbookViewId="0">
      <selection activeCell="N41" sqref="N41"/>
    </sheetView>
  </sheetViews>
  <sheetFormatPr defaultRowHeight="15" x14ac:dyDescent="0.25"/>
  <cols>
    <col min="1" max="1" width="24" bestFit="1" customWidth="1"/>
    <col min="2" max="2" width="22.140625" customWidth="1"/>
    <col min="3" max="3" width="17" customWidth="1"/>
    <col min="4" max="4" width="16" customWidth="1"/>
    <col min="5" max="5" width="16.42578125" customWidth="1"/>
    <col min="6" max="6" width="22.42578125" customWidth="1"/>
    <col min="7" max="7" width="24.28515625" customWidth="1"/>
    <col min="8" max="8" width="25.42578125" customWidth="1"/>
    <col min="9" max="9" width="18.140625" customWidth="1"/>
    <col min="10" max="10" width="19" customWidth="1"/>
    <col min="11" max="11" width="20.28515625" customWidth="1"/>
    <col min="12" max="12" width="22" customWidth="1"/>
    <col min="13" max="13" width="24.7109375" customWidth="1"/>
    <col min="14" max="14" width="20.5703125" bestFit="1" customWidth="1"/>
    <col min="15" max="15" width="15.28515625" bestFit="1" customWidth="1"/>
  </cols>
  <sheetData>
    <row r="1" spans="1:15" x14ac:dyDescent="0.25">
      <c r="A1" s="1" t="s">
        <v>0</v>
      </c>
      <c r="F1" s="1"/>
    </row>
    <row r="3" spans="1:15" x14ac:dyDescent="0.25">
      <c r="A3" s="1" t="s">
        <v>13</v>
      </c>
      <c r="B3" s="1" t="s">
        <v>1</v>
      </c>
      <c r="C3" s="1" t="s">
        <v>2</v>
      </c>
      <c r="D3" s="1" t="s">
        <v>3</v>
      </c>
      <c r="E3" s="1" t="s">
        <v>4</v>
      </c>
      <c r="F3" s="10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27</v>
      </c>
      <c r="O3" s="1" t="s">
        <v>25</v>
      </c>
    </row>
    <row r="4" spans="1:15" x14ac:dyDescent="0.25">
      <c r="A4" t="s">
        <v>14</v>
      </c>
      <c r="B4" s="2">
        <v>10000</v>
      </c>
      <c r="C4" s="2">
        <f>ROUND(B4*1.075,2)</f>
        <v>10750</v>
      </c>
      <c r="D4" s="2">
        <f t="shared" ref="D4:M4" si="0">ROUND(C4*1.075,2)</f>
        <v>11556.25</v>
      </c>
      <c r="E4" s="2">
        <f t="shared" si="0"/>
        <v>12422.97</v>
      </c>
      <c r="F4" s="2">
        <f t="shared" si="0"/>
        <v>13354.69</v>
      </c>
      <c r="G4" s="2">
        <f t="shared" si="0"/>
        <v>14356.29</v>
      </c>
      <c r="H4" s="2">
        <f t="shared" si="0"/>
        <v>15433.01</v>
      </c>
      <c r="I4" s="2">
        <f t="shared" si="0"/>
        <v>16590.490000000002</v>
      </c>
      <c r="J4" s="2">
        <f t="shared" si="0"/>
        <v>17834.78</v>
      </c>
      <c r="K4" s="2">
        <f t="shared" si="0"/>
        <v>19172.39</v>
      </c>
      <c r="L4" s="2">
        <f t="shared" si="0"/>
        <v>20610.32</v>
      </c>
      <c r="M4" s="2">
        <f t="shared" si="0"/>
        <v>22156.09</v>
      </c>
      <c r="N4" s="2">
        <f>SUM(B4:M4)</f>
        <v>184237.28</v>
      </c>
      <c r="O4" s="5">
        <f>N4/$N$8</f>
        <v>0.92773729960196338</v>
      </c>
    </row>
    <row r="5" spans="1:15" x14ac:dyDescent="0.25">
      <c r="A5" t="s">
        <v>15</v>
      </c>
      <c r="B5" s="2">
        <v>2000</v>
      </c>
      <c r="C5" s="2">
        <f>B5*(4.25%)</f>
        <v>85</v>
      </c>
      <c r="D5" s="2">
        <f t="shared" ref="D5:M5" si="1">C5*(4.25%)</f>
        <v>3.6125000000000003</v>
      </c>
      <c r="E5" s="2">
        <f t="shared" si="1"/>
        <v>0.15353125000000004</v>
      </c>
      <c r="F5" s="2">
        <f t="shared" si="1"/>
        <v>6.5250781250000018E-3</v>
      </c>
      <c r="G5" s="2">
        <f t="shared" si="1"/>
        <v>2.7731582031250009E-4</v>
      </c>
      <c r="H5" s="2">
        <f t="shared" si="1"/>
        <v>1.1785922363281256E-5</v>
      </c>
      <c r="I5" s="2">
        <f t="shared" si="1"/>
        <v>5.0090170043945336E-7</v>
      </c>
      <c r="J5" s="2">
        <f t="shared" si="1"/>
        <v>2.1288322268676768E-8</v>
      </c>
      <c r="K5" s="2">
        <f t="shared" si="1"/>
        <v>9.0475369641876274E-10</v>
      </c>
      <c r="L5" s="2">
        <f t="shared" si="1"/>
        <v>3.8452032097797419E-11</v>
      </c>
      <c r="M5" s="2">
        <f t="shared" si="1"/>
        <v>1.6342113641563903E-12</v>
      </c>
      <c r="N5" s="2">
        <f>SUM(B5:M5)</f>
        <v>2088.7728459530031</v>
      </c>
      <c r="O5" s="5">
        <f t="shared" ref="O5:O7" si="2">N5/$N$8</f>
        <v>1.0518134438297976E-2</v>
      </c>
    </row>
    <row r="6" spans="1:15" x14ac:dyDescent="0.25">
      <c r="A6" t="s">
        <v>16</v>
      </c>
      <c r="B6" s="2">
        <v>600</v>
      </c>
      <c r="C6" s="2">
        <f>B6*(1+0.0525)</f>
        <v>631.5</v>
      </c>
      <c r="D6" s="2">
        <f t="shared" ref="D6:M6" si="3">C6*(1+0.0525)</f>
        <v>664.65374999999995</v>
      </c>
      <c r="E6" s="2">
        <f t="shared" si="3"/>
        <v>699.54807187499989</v>
      </c>
      <c r="F6" s="2">
        <f t="shared" si="3"/>
        <v>736.27434564843736</v>
      </c>
      <c r="G6" s="2">
        <f t="shared" si="3"/>
        <v>774.92874879498027</v>
      </c>
      <c r="H6" s="2">
        <f t="shared" si="3"/>
        <v>815.61250810671675</v>
      </c>
      <c r="I6" s="2">
        <f t="shared" si="3"/>
        <v>858.43216478231932</v>
      </c>
      <c r="J6" s="2">
        <f t="shared" si="3"/>
        <v>903.49985343339108</v>
      </c>
      <c r="K6" s="2">
        <f t="shared" si="3"/>
        <v>950.93359573864416</v>
      </c>
      <c r="L6" s="2">
        <f t="shared" si="3"/>
        <v>1000.857609514923</v>
      </c>
      <c r="M6" s="2">
        <f t="shared" si="3"/>
        <v>1053.4026340144565</v>
      </c>
      <c r="N6" s="2">
        <f>SUM(B6:M6)</f>
        <v>9689.6432819088659</v>
      </c>
      <c r="O6" s="5">
        <f t="shared" si="2"/>
        <v>4.8792749721795925E-2</v>
      </c>
    </row>
    <row r="7" spans="1:15" x14ac:dyDescent="0.25">
      <c r="A7" t="s">
        <v>17</v>
      </c>
      <c r="B7" s="2">
        <v>200</v>
      </c>
      <c r="C7" s="2">
        <f>B7*(1+0.0125)</f>
        <v>202.5</v>
      </c>
      <c r="D7" s="2">
        <f t="shared" ref="D7:M7" si="4">C7*(1+0.0125)</f>
        <v>205.03125</v>
      </c>
      <c r="E7" s="2">
        <f t="shared" si="4"/>
        <v>207.59414062499999</v>
      </c>
      <c r="F7" s="2">
        <f t="shared" si="4"/>
        <v>210.18906738281248</v>
      </c>
      <c r="G7" s="2">
        <f t="shared" si="4"/>
        <v>212.81643072509763</v>
      </c>
      <c r="H7" s="2">
        <f t="shared" si="4"/>
        <v>215.47663610916135</v>
      </c>
      <c r="I7" s="2">
        <f t="shared" si="4"/>
        <v>218.17009406052586</v>
      </c>
      <c r="J7" s="2">
        <f t="shared" si="4"/>
        <v>220.89722023628241</v>
      </c>
      <c r="K7" s="2">
        <f t="shared" si="4"/>
        <v>223.65843548923593</v>
      </c>
      <c r="L7" s="2">
        <f t="shared" si="4"/>
        <v>226.45416593285137</v>
      </c>
      <c r="M7" s="2">
        <f t="shared" si="4"/>
        <v>229.284843007012</v>
      </c>
      <c r="N7" s="2">
        <f>SUM(B7:M7)</f>
        <v>2572.0722835679794</v>
      </c>
      <c r="O7" s="5">
        <f t="shared" si="2"/>
        <v>1.2951816237942792E-2</v>
      </c>
    </row>
    <row r="8" spans="1:15" ht="31.5" customHeight="1" x14ac:dyDescent="0.25">
      <c r="A8" s="1" t="s">
        <v>24</v>
      </c>
      <c r="B8" s="3">
        <f t="shared" ref="B8:M8" si="5">SUM(B4:B7)</f>
        <v>12800</v>
      </c>
      <c r="C8" s="3">
        <f t="shared" si="5"/>
        <v>11669</v>
      </c>
      <c r="D8" s="3">
        <f t="shared" si="5"/>
        <v>12429.547499999999</v>
      </c>
      <c r="E8" s="3">
        <f t="shared" si="5"/>
        <v>13330.26574375</v>
      </c>
      <c r="F8" s="3">
        <f t="shared" si="5"/>
        <v>14301.159938109375</v>
      </c>
      <c r="G8" s="3">
        <f t="shared" si="5"/>
        <v>15344.035456835898</v>
      </c>
      <c r="H8" s="3">
        <f t="shared" si="5"/>
        <v>16464.099156001801</v>
      </c>
      <c r="I8" s="3">
        <f t="shared" si="5"/>
        <v>17667.09225934375</v>
      </c>
      <c r="J8" s="3">
        <f t="shared" si="5"/>
        <v>18959.17707369096</v>
      </c>
      <c r="K8" s="3">
        <f t="shared" si="5"/>
        <v>20346.982031228785</v>
      </c>
      <c r="L8" s="3">
        <f t="shared" si="5"/>
        <v>21837.631775447811</v>
      </c>
      <c r="M8" s="3">
        <f t="shared" si="5"/>
        <v>23438.777477021467</v>
      </c>
      <c r="N8" s="3">
        <f>SUM(B8:M8)</f>
        <v>198587.76841142983</v>
      </c>
      <c r="O8" s="6">
        <f>SUM(O4:O7)</f>
        <v>1</v>
      </c>
    </row>
    <row r="9" spans="1:15" x14ac:dyDescent="0.25">
      <c r="A9" s="1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5"/>
    </row>
    <row r="10" spans="1:15" x14ac:dyDescent="0.25">
      <c r="A10" t="s">
        <v>19</v>
      </c>
      <c r="B10" s="2">
        <f>B4*40.75%</f>
        <v>4074.9999999999995</v>
      </c>
      <c r="C10" s="2">
        <f t="shared" ref="C10:M10" si="6">C4*40.75%</f>
        <v>4380.625</v>
      </c>
      <c r="D10" s="2">
        <f t="shared" si="6"/>
        <v>4709.171875</v>
      </c>
      <c r="E10" s="2">
        <f t="shared" si="6"/>
        <v>5062.3602749999991</v>
      </c>
      <c r="F10" s="2">
        <f t="shared" si="6"/>
        <v>5442.0361750000002</v>
      </c>
      <c r="G10" s="2">
        <f t="shared" si="6"/>
        <v>5850.1881750000002</v>
      </c>
      <c r="H10" s="2">
        <f t="shared" si="6"/>
        <v>6288.951575</v>
      </c>
      <c r="I10" s="2">
        <f t="shared" si="6"/>
        <v>6760.624675</v>
      </c>
      <c r="J10" s="2">
        <f t="shared" si="6"/>
        <v>7267.672849999999</v>
      </c>
      <c r="K10" s="2">
        <f t="shared" si="6"/>
        <v>7812.748924999999</v>
      </c>
      <c r="L10" s="2">
        <f t="shared" si="6"/>
        <v>8398.7053999999989</v>
      </c>
      <c r="M10" s="2">
        <f t="shared" si="6"/>
        <v>9028.6066749999991</v>
      </c>
      <c r="N10" s="2">
        <f>SUM(B10:M10)</f>
        <v>75076.691600000006</v>
      </c>
      <c r="O10" s="5">
        <f>N10/$N$15</f>
        <v>0.93739490992794117</v>
      </c>
    </row>
    <row r="11" spans="1:15" x14ac:dyDescent="0.25">
      <c r="A11" t="s">
        <v>20</v>
      </c>
      <c r="B11" s="2">
        <f>B5*0.3275</f>
        <v>655</v>
      </c>
      <c r="C11" s="2">
        <f t="shared" ref="C11:M11" si="7">C5*0.3275</f>
        <v>27.837500000000002</v>
      </c>
      <c r="D11" s="2">
        <f t="shared" si="7"/>
        <v>1.1830937500000001</v>
      </c>
      <c r="E11" s="2">
        <f t="shared" si="7"/>
        <v>5.0281484375000011E-2</v>
      </c>
      <c r="F11" s="2">
        <f t="shared" si="7"/>
        <v>2.1369630859375006E-3</v>
      </c>
      <c r="G11" s="2">
        <f t="shared" si="7"/>
        <v>9.082093115234379E-5</v>
      </c>
      <c r="H11" s="2">
        <f t="shared" si="7"/>
        <v>3.8598895739746116E-6</v>
      </c>
      <c r="I11" s="2">
        <f t="shared" si="7"/>
        <v>1.6404530689392099E-7</v>
      </c>
      <c r="J11" s="2">
        <f t="shared" si="7"/>
        <v>6.9719255429916417E-9</v>
      </c>
      <c r="K11" s="2">
        <f t="shared" si="7"/>
        <v>2.963068355771448E-10</v>
      </c>
      <c r="L11" s="2">
        <f t="shared" si="7"/>
        <v>1.2593040512028655E-11</v>
      </c>
      <c r="M11" s="2">
        <f t="shared" si="7"/>
        <v>5.3520422176121783E-13</v>
      </c>
      <c r="N11" s="2">
        <f>SUM(B11:M11)</f>
        <v>684.07310704960844</v>
      </c>
      <c r="O11" s="5">
        <f>N11/$N$15</f>
        <v>8.5412214483741918E-3</v>
      </c>
    </row>
    <row r="12" spans="1:15" x14ac:dyDescent="0.25">
      <c r="A12" t="s">
        <v>21</v>
      </c>
      <c r="B12" s="2">
        <f>ROUND(B6*0.3825,2)</f>
        <v>229.5</v>
      </c>
      <c r="C12" s="2">
        <f t="shared" ref="C12:N12" si="8">ROUND(C6*0.3825,2)</f>
        <v>241.55</v>
      </c>
      <c r="D12" s="2">
        <f t="shared" si="8"/>
        <v>254.23</v>
      </c>
      <c r="E12" s="2">
        <f t="shared" si="8"/>
        <v>267.58</v>
      </c>
      <c r="F12" s="2">
        <f t="shared" si="8"/>
        <v>281.62</v>
      </c>
      <c r="G12" s="2">
        <f t="shared" si="8"/>
        <v>296.41000000000003</v>
      </c>
      <c r="H12" s="2">
        <f t="shared" si="8"/>
        <v>311.97000000000003</v>
      </c>
      <c r="I12" s="2">
        <f t="shared" si="8"/>
        <v>328.35</v>
      </c>
      <c r="J12" s="2">
        <f t="shared" si="8"/>
        <v>345.59</v>
      </c>
      <c r="K12" s="2">
        <f t="shared" si="8"/>
        <v>363.73</v>
      </c>
      <c r="L12" s="2">
        <f t="shared" si="8"/>
        <v>382.83</v>
      </c>
      <c r="M12" s="2">
        <f t="shared" si="8"/>
        <v>402.93</v>
      </c>
      <c r="N12" s="2">
        <f t="shared" si="8"/>
        <v>3706.29</v>
      </c>
      <c r="O12" s="5">
        <f>N12/$N$15</f>
        <v>4.6276111888724047E-2</v>
      </c>
    </row>
    <row r="13" spans="1:15" x14ac:dyDescent="0.25">
      <c r="A13" t="s">
        <v>22</v>
      </c>
      <c r="B13" s="2">
        <f>B7*24.25%</f>
        <v>48.5</v>
      </c>
      <c r="C13" s="2">
        <f t="shared" ref="C13:M13" si="9">C7*24.25%</f>
        <v>49.106249999999996</v>
      </c>
      <c r="D13" s="2">
        <f t="shared" si="9"/>
        <v>49.720078125000001</v>
      </c>
      <c r="E13" s="2">
        <f t="shared" si="9"/>
        <v>50.341579101562495</v>
      </c>
      <c r="F13" s="2">
        <f t="shared" si="9"/>
        <v>50.970848840332025</v>
      </c>
      <c r="G13" s="2">
        <f t="shared" si="9"/>
        <v>51.607984450836177</v>
      </c>
      <c r="H13" s="2">
        <f t="shared" si="9"/>
        <v>52.253084256471624</v>
      </c>
      <c r="I13" s="2">
        <f t="shared" si="9"/>
        <v>52.906247809677517</v>
      </c>
      <c r="J13" s="2">
        <f t="shared" si="9"/>
        <v>53.567575907298483</v>
      </c>
      <c r="K13" s="2">
        <f t="shared" si="9"/>
        <v>54.237170606139713</v>
      </c>
      <c r="L13" s="2">
        <f t="shared" si="9"/>
        <v>54.915135238716452</v>
      </c>
      <c r="M13" s="2">
        <f t="shared" si="9"/>
        <v>55.601574429200411</v>
      </c>
      <c r="N13" s="2">
        <f>SUM(B13:M13)</f>
        <v>623.72752876523487</v>
      </c>
      <c r="O13" s="5">
        <f>N13/$N$15</f>
        <v>7.7877567349606634E-3</v>
      </c>
    </row>
    <row r="14" spans="1:15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5"/>
    </row>
    <row r="15" spans="1:15" x14ac:dyDescent="0.25">
      <c r="A15" s="1" t="s">
        <v>23</v>
      </c>
      <c r="B15" s="3">
        <f t="shared" ref="B15:M15" si="10">SUM(B10:B14)</f>
        <v>5008</v>
      </c>
      <c r="C15" s="3">
        <f t="shared" si="10"/>
        <v>4699.1187499999996</v>
      </c>
      <c r="D15" s="3">
        <f t="shared" si="10"/>
        <v>5014.3050468749998</v>
      </c>
      <c r="E15" s="3">
        <f t="shared" si="10"/>
        <v>5380.3321355859362</v>
      </c>
      <c r="F15" s="3">
        <f t="shared" si="10"/>
        <v>5774.629160803418</v>
      </c>
      <c r="G15" s="3">
        <f t="shared" si="10"/>
        <v>6198.2062502717672</v>
      </c>
      <c r="H15" s="3">
        <f t="shared" si="10"/>
        <v>6653.1746631163614</v>
      </c>
      <c r="I15" s="3">
        <f t="shared" si="10"/>
        <v>7141.8809229737235</v>
      </c>
      <c r="J15" s="3">
        <f t="shared" si="10"/>
        <v>7666.8304259142697</v>
      </c>
      <c r="K15" s="3">
        <f t="shared" si="10"/>
        <v>8230.7160956064363</v>
      </c>
      <c r="L15" s="3">
        <f t="shared" si="10"/>
        <v>8836.4505352387278</v>
      </c>
      <c r="M15" s="3">
        <f t="shared" si="10"/>
        <v>9487.1382494291993</v>
      </c>
      <c r="N15" s="3">
        <f>SUM(B15:M15)</f>
        <v>80090.782235814841</v>
      </c>
      <c r="O15" s="6">
        <f>N15/$N$15</f>
        <v>1</v>
      </c>
    </row>
    <row r="16" spans="1:15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5"/>
    </row>
    <row r="17" spans="1:15" x14ac:dyDescent="0.25">
      <c r="A17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5"/>
    </row>
    <row r="18" spans="1:15" x14ac:dyDescent="0.25">
      <c r="A18" t="s">
        <v>14</v>
      </c>
      <c r="B18" s="2">
        <f>B4-B10</f>
        <v>5925</v>
      </c>
      <c r="C18" s="2">
        <f t="shared" ref="C18:N18" si="11">C4-C10</f>
        <v>6369.375</v>
      </c>
      <c r="D18" s="2">
        <f t="shared" si="11"/>
        <v>6847.078125</v>
      </c>
      <c r="E18" s="2">
        <f t="shared" si="11"/>
        <v>7360.6097250000003</v>
      </c>
      <c r="F18" s="2">
        <f t="shared" si="11"/>
        <v>7912.6538250000003</v>
      </c>
      <c r="G18" s="2">
        <f t="shared" si="11"/>
        <v>8506.1018250000016</v>
      </c>
      <c r="H18" s="2">
        <f t="shared" si="11"/>
        <v>9144.0584249999993</v>
      </c>
      <c r="I18" s="2">
        <f t="shared" si="11"/>
        <v>9829.8653250000025</v>
      </c>
      <c r="J18" s="2">
        <f t="shared" si="11"/>
        <v>10567.10715</v>
      </c>
      <c r="K18" s="2">
        <f t="shared" si="11"/>
        <v>11359.641075</v>
      </c>
      <c r="L18" s="2">
        <f t="shared" si="11"/>
        <v>12211.614600000001</v>
      </c>
      <c r="M18" s="2">
        <f t="shared" si="11"/>
        <v>13127.483325000001</v>
      </c>
      <c r="N18" s="2">
        <f t="shared" si="11"/>
        <v>109160.58839999999</v>
      </c>
      <c r="O18" s="5">
        <f>N18/$N$23</f>
        <v>0.92120982923752781</v>
      </c>
    </row>
    <row r="19" spans="1:15" x14ac:dyDescent="0.25">
      <c r="A19" t="s">
        <v>15</v>
      </c>
      <c r="B19" s="2">
        <f t="shared" ref="B19:N21" si="12">B5-B11</f>
        <v>1345</v>
      </c>
      <c r="C19" s="2">
        <f t="shared" si="12"/>
        <v>57.162499999999994</v>
      </c>
      <c r="D19" s="2">
        <f t="shared" si="12"/>
        <v>2.4294062500000004</v>
      </c>
      <c r="E19" s="2">
        <f t="shared" si="12"/>
        <v>0.10324976562500002</v>
      </c>
      <c r="F19" s="2">
        <f t="shared" si="12"/>
        <v>4.3881150390625012E-3</v>
      </c>
      <c r="G19" s="2">
        <f t="shared" si="12"/>
        <v>1.864948891601563E-4</v>
      </c>
      <c r="H19" s="2">
        <f t="shared" si="12"/>
        <v>7.9260327893066448E-6</v>
      </c>
      <c r="I19" s="2">
        <f t="shared" si="12"/>
        <v>3.3685639354553237E-7</v>
      </c>
      <c r="J19" s="2">
        <f t="shared" si="12"/>
        <v>1.4316396725685126E-8</v>
      </c>
      <c r="K19" s="2">
        <f t="shared" si="12"/>
        <v>6.0844686084161799E-10</v>
      </c>
      <c r="L19" s="2">
        <f t="shared" si="12"/>
        <v>2.5858991585768766E-11</v>
      </c>
      <c r="M19" s="2">
        <f t="shared" si="12"/>
        <v>1.0990071423951726E-12</v>
      </c>
      <c r="N19" s="2">
        <f t="shared" si="12"/>
        <v>1404.6997389033945</v>
      </c>
      <c r="O19" s="5">
        <f t="shared" ref="O19:O23" si="13">N19/$N$23</f>
        <v>1.1854307727469121E-2</v>
      </c>
    </row>
    <row r="20" spans="1:15" x14ac:dyDescent="0.25">
      <c r="A20" t="s">
        <v>16</v>
      </c>
      <c r="B20" s="2">
        <f t="shared" si="12"/>
        <v>370.5</v>
      </c>
      <c r="C20" s="2">
        <f t="shared" si="12"/>
        <v>389.95</v>
      </c>
      <c r="D20" s="2">
        <f t="shared" si="12"/>
        <v>410.42374999999993</v>
      </c>
      <c r="E20" s="2">
        <f t="shared" si="12"/>
        <v>431.96807187499991</v>
      </c>
      <c r="F20" s="2">
        <f t="shared" si="12"/>
        <v>454.65434564843736</v>
      </c>
      <c r="G20" s="2">
        <f t="shared" si="12"/>
        <v>478.51874879498024</v>
      </c>
      <c r="H20" s="2">
        <f t="shared" si="12"/>
        <v>503.64250810671672</v>
      </c>
      <c r="I20" s="2">
        <f t="shared" si="12"/>
        <v>530.0821647823193</v>
      </c>
      <c r="J20" s="2">
        <f t="shared" si="12"/>
        <v>557.90985343339116</v>
      </c>
      <c r="K20" s="2">
        <f t="shared" si="12"/>
        <v>587.20359573864414</v>
      </c>
      <c r="L20" s="2">
        <f t="shared" si="12"/>
        <v>618.02760951492291</v>
      </c>
      <c r="M20" s="2">
        <f t="shared" si="12"/>
        <v>650.47263401445639</v>
      </c>
      <c r="N20" s="2">
        <f t="shared" si="12"/>
        <v>5983.3532819088659</v>
      </c>
      <c r="O20" s="5">
        <f t="shared" si="13"/>
        <v>5.0493716971344839E-2</v>
      </c>
    </row>
    <row r="21" spans="1:15" x14ac:dyDescent="0.25">
      <c r="A21" t="s">
        <v>17</v>
      </c>
      <c r="B21" s="2">
        <f>B7-B13</f>
        <v>151.5</v>
      </c>
      <c r="C21" s="2">
        <f t="shared" si="12"/>
        <v>153.39375000000001</v>
      </c>
      <c r="D21" s="2">
        <f t="shared" si="12"/>
        <v>155.31117187500001</v>
      </c>
      <c r="E21" s="2">
        <f t="shared" si="12"/>
        <v>157.25256152343749</v>
      </c>
      <c r="F21" s="2">
        <f t="shared" si="12"/>
        <v>159.21821854248046</v>
      </c>
      <c r="G21" s="2">
        <f t="shared" si="12"/>
        <v>161.20844627426146</v>
      </c>
      <c r="H21" s="2">
        <f t="shared" si="12"/>
        <v>163.22355185268972</v>
      </c>
      <c r="I21" s="2">
        <f t="shared" si="12"/>
        <v>165.26384625084833</v>
      </c>
      <c r="J21" s="2">
        <f t="shared" si="12"/>
        <v>167.32964432898393</v>
      </c>
      <c r="K21" s="2">
        <f>K7-K13</f>
        <v>169.42126488309623</v>
      </c>
      <c r="L21" s="2">
        <f t="shared" si="12"/>
        <v>171.53903069413491</v>
      </c>
      <c r="M21" s="2">
        <f t="shared" si="12"/>
        <v>173.68326857781159</v>
      </c>
      <c r="N21" s="2">
        <f t="shared" si="12"/>
        <v>1948.3447548027445</v>
      </c>
      <c r="O21" s="5">
        <f t="shared" si="13"/>
        <v>1.6442146063658167E-2</v>
      </c>
    </row>
    <row r="22" spans="1:15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5">
        <f t="shared" si="13"/>
        <v>0</v>
      </c>
    </row>
    <row r="23" spans="1:15" x14ac:dyDescent="0.25">
      <c r="A23" s="1" t="s">
        <v>28</v>
      </c>
      <c r="B23" s="3">
        <f>SUM(B18:B22)</f>
        <v>7792</v>
      </c>
      <c r="C23" s="3">
        <f t="shared" ref="C23:N23" si="14">SUM(C18:C22)</f>
        <v>6969.8812500000004</v>
      </c>
      <c r="D23" s="3">
        <f t="shared" si="14"/>
        <v>7415.2424531249999</v>
      </c>
      <c r="E23" s="3">
        <f t="shared" si="14"/>
        <v>7949.9336081640622</v>
      </c>
      <c r="F23" s="3">
        <f t="shared" si="14"/>
        <v>8526.5307773059576</v>
      </c>
      <c r="G23" s="3">
        <f t="shared" si="14"/>
        <v>9145.8292065641344</v>
      </c>
      <c r="H23" s="3">
        <f t="shared" si="14"/>
        <v>9810.9244928854405</v>
      </c>
      <c r="I23" s="3">
        <f t="shared" si="14"/>
        <v>10525.211336370026</v>
      </c>
      <c r="J23" s="3">
        <f t="shared" si="14"/>
        <v>11292.346647776692</v>
      </c>
      <c r="K23" s="3">
        <f t="shared" si="14"/>
        <v>12116.265935622347</v>
      </c>
      <c r="L23" s="3">
        <f t="shared" si="14"/>
        <v>13001.181240209085</v>
      </c>
      <c r="M23" s="3">
        <f t="shared" si="14"/>
        <v>13951.639227592272</v>
      </c>
      <c r="N23" s="3">
        <f t="shared" si="14"/>
        <v>118496.98617561501</v>
      </c>
      <c r="O23" s="6">
        <f t="shared" si="13"/>
        <v>1</v>
      </c>
    </row>
    <row r="24" spans="1:15" x14ac:dyDescent="0.2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6"/>
    </row>
    <row r="25" spans="1:15" x14ac:dyDescent="0.25"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27</v>
      </c>
      <c r="O25" s="1" t="s">
        <v>25</v>
      </c>
    </row>
    <row r="26" spans="1:15" x14ac:dyDescent="0.25">
      <c r="A26" s="1" t="s">
        <v>29</v>
      </c>
      <c r="O26" s="8"/>
    </row>
    <row r="27" spans="1:15" x14ac:dyDescent="0.25">
      <c r="A27" t="s">
        <v>30</v>
      </c>
      <c r="B27" s="7">
        <v>5000</v>
      </c>
      <c r="C27" s="7">
        <v>5000</v>
      </c>
      <c r="D27" s="7">
        <v>5000</v>
      </c>
      <c r="E27" s="7">
        <v>5000</v>
      </c>
      <c r="F27" s="7">
        <v>5000</v>
      </c>
      <c r="G27" s="7">
        <v>5000</v>
      </c>
      <c r="H27" s="7">
        <v>5000</v>
      </c>
      <c r="I27" s="7">
        <v>5000</v>
      </c>
      <c r="J27" s="7">
        <v>5000</v>
      </c>
      <c r="K27" s="7">
        <v>5000</v>
      </c>
      <c r="L27" s="7">
        <v>5000</v>
      </c>
      <c r="M27" s="7">
        <v>5000</v>
      </c>
      <c r="N27" s="7">
        <f>SUM(B27:M27)</f>
        <v>60000</v>
      </c>
      <c r="O27" s="5">
        <f>N27/$N$33</f>
        <v>0.78132518220177716</v>
      </c>
    </row>
    <row r="28" spans="1:15" x14ac:dyDescent="0.25">
      <c r="A28" t="s">
        <v>31</v>
      </c>
      <c r="B28" s="7">
        <v>1000</v>
      </c>
      <c r="C28" s="7">
        <v>1000</v>
      </c>
      <c r="D28" s="7">
        <v>1000</v>
      </c>
      <c r="E28" s="7">
        <v>1000</v>
      </c>
      <c r="F28" s="7">
        <v>1000</v>
      </c>
      <c r="G28" s="7">
        <v>1000</v>
      </c>
      <c r="H28" s="7">
        <v>1000</v>
      </c>
      <c r="I28" s="7">
        <v>1000</v>
      </c>
      <c r="J28" s="7">
        <v>1000</v>
      </c>
      <c r="K28" s="7">
        <v>1000</v>
      </c>
      <c r="L28" s="7">
        <v>1000</v>
      </c>
      <c r="M28" s="7">
        <v>1000</v>
      </c>
      <c r="N28" s="7">
        <f>SUM(B28:M28)</f>
        <v>12000</v>
      </c>
      <c r="O28" s="5">
        <f t="shared" ref="O28:O30" si="15">N28/$N$33</f>
        <v>0.15626503644035541</v>
      </c>
    </row>
    <row r="29" spans="1:15" x14ac:dyDescent="0.25">
      <c r="A29" t="s">
        <v>32</v>
      </c>
      <c r="B29" s="7">
        <v>500</v>
      </c>
      <c r="C29" s="7">
        <f>ROUND(B29*0.0325,2)</f>
        <v>16.25</v>
      </c>
      <c r="D29" s="7">
        <f t="shared" ref="D29:M29" si="16">ROUND(C29*0.0325,2)</f>
        <v>0.53</v>
      </c>
      <c r="E29" s="7">
        <f t="shared" si="16"/>
        <v>0.02</v>
      </c>
      <c r="F29" s="7">
        <f t="shared" si="16"/>
        <v>0</v>
      </c>
      <c r="G29" s="7">
        <f t="shared" si="16"/>
        <v>0</v>
      </c>
      <c r="H29" s="7">
        <f t="shared" si="16"/>
        <v>0</v>
      </c>
      <c r="I29" s="7">
        <f t="shared" si="16"/>
        <v>0</v>
      </c>
      <c r="J29" s="7">
        <f t="shared" si="16"/>
        <v>0</v>
      </c>
      <c r="K29" s="7">
        <f t="shared" si="16"/>
        <v>0</v>
      </c>
      <c r="L29" s="7">
        <f t="shared" si="16"/>
        <v>0</v>
      </c>
      <c r="M29" s="7">
        <f t="shared" si="16"/>
        <v>0</v>
      </c>
      <c r="N29" s="7">
        <f>SUM(B29:M29)</f>
        <v>516.79999999999995</v>
      </c>
      <c r="O29" s="5">
        <f t="shared" si="15"/>
        <v>6.7298142360313062E-3</v>
      </c>
    </row>
    <row r="30" spans="1:15" x14ac:dyDescent="0.25">
      <c r="A30" t="s">
        <v>33</v>
      </c>
      <c r="B30" s="7">
        <v>400</v>
      </c>
      <c r="C30" s="7">
        <f>ROUND(B30*0.0425,2)</f>
        <v>17</v>
      </c>
      <c r="D30" s="7">
        <f t="shared" ref="D30:M30" si="17">ROUND(C30*0.0425,2)</f>
        <v>0.72</v>
      </c>
      <c r="E30" s="7">
        <f t="shared" si="17"/>
        <v>0.03</v>
      </c>
      <c r="F30" s="7">
        <f t="shared" si="17"/>
        <v>0</v>
      </c>
      <c r="G30" s="7">
        <f t="shared" si="17"/>
        <v>0</v>
      </c>
      <c r="H30" s="7">
        <f t="shared" si="17"/>
        <v>0</v>
      </c>
      <c r="I30" s="7">
        <f t="shared" si="17"/>
        <v>0</v>
      </c>
      <c r="J30" s="7">
        <f t="shared" si="17"/>
        <v>0</v>
      </c>
      <c r="K30" s="7">
        <f t="shared" si="17"/>
        <v>0</v>
      </c>
      <c r="L30" s="7">
        <f t="shared" si="17"/>
        <v>0</v>
      </c>
      <c r="M30" s="7">
        <f t="shared" si="17"/>
        <v>0</v>
      </c>
      <c r="N30" s="7">
        <f>SUM(B30:M30)</f>
        <v>417.75</v>
      </c>
      <c r="O30" s="5">
        <f t="shared" si="15"/>
        <v>5.4399765810798735E-3</v>
      </c>
    </row>
    <row r="31" spans="1:15" x14ac:dyDescent="0.25">
      <c r="A31" t="s">
        <v>34</v>
      </c>
      <c r="B31" s="7">
        <v>300</v>
      </c>
      <c r="C31" s="7">
        <f>ROUND(B31*1.0125,2)</f>
        <v>303.75</v>
      </c>
      <c r="D31" s="7">
        <f t="shared" ref="D31:M31" si="18">ROUND(C31*1.0125,2)</f>
        <v>307.55</v>
      </c>
      <c r="E31" s="7">
        <f t="shared" si="18"/>
        <v>311.39</v>
      </c>
      <c r="F31" s="7">
        <f t="shared" si="18"/>
        <v>315.27999999999997</v>
      </c>
      <c r="G31" s="7">
        <f t="shared" si="18"/>
        <v>319.22000000000003</v>
      </c>
      <c r="H31" s="7">
        <f t="shared" si="18"/>
        <v>323.20999999999998</v>
      </c>
      <c r="I31" s="7">
        <f t="shared" si="18"/>
        <v>327.25</v>
      </c>
      <c r="J31" s="7">
        <f t="shared" si="18"/>
        <v>331.34</v>
      </c>
      <c r="K31" s="7">
        <f t="shared" si="18"/>
        <v>335.48</v>
      </c>
      <c r="L31" s="7">
        <f t="shared" si="18"/>
        <v>339.67</v>
      </c>
      <c r="M31" s="7">
        <f t="shared" si="18"/>
        <v>343.92</v>
      </c>
      <c r="N31" s="7">
        <f>SUM(B31:M31)</f>
        <v>3858.0600000000004</v>
      </c>
      <c r="O31" s="5">
        <f>N31/$N$33</f>
        <v>5.0239990540756473E-2</v>
      </c>
    </row>
    <row r="33" spans="1:15" x14ac:dyDescent="0.25">
      <c r="A33" s="1" t="s">
        <v>35</v>
      </c>
      <c r="B33" s="9">
        <f t="shared" ref="B33:M33" si="19">SUM(B27:B32)</f>
        <v>7200</v>
      </c>
      <c r="C33" s="9">
        <f t="shared" si="19"/>
        <v>6337</v>
      </c>
      <c r="D33" s="9">
        <f t="shared" si="19"/>
        <v>6308.8</v>
      </c>
      <c r="E33" s="9">
        <f t="shared" si="19"/>
        <v>6311.4400000000005</v>
      </c>
      <c r="F33" s="9">
        <f t="shared" si="19"/>
        <v>6315.28</v>
      </c>
      <c r="G33" s="9">
        <f t="shared" si="19"/>
        <v>6319.22</v>
      </c>
      <c r="H33" s="9">
        <f t="shared" si="19"/>
        <v>6323.21</v>
      </c>
      <c r="I33" s="9">
        <f t="shared" si="19"/>
        <v>6327.25</v>
      </c>
      <c r="J33" s="9">
        <f t="shared" si="19"/>
        <v>6331.34</v>
      </c>
      <c r="K33" s="9">
        <f t="shared" si="19"/>
        <v>6335.48</v>
      </c>
      <c r="L33" s="9">
        <f t="shared" si="19"/>
        <v>6339.67</v>
      </c>
      <c r="M33" s="9">
        <f t="shared" si="19"/>
        <v>6343.92</v>
      </c>
      <c r="N33" s="9">
        <f>SUM(B33:M33)</f>
        <v>76792.609999999986</v>
      </c>
      <c r="O33" s="6">
        <f>O27+O29+O28+O30+O31</f>
        <v>1.0000000000000002</v>
      </c>
    </row>
    <row r="34" spans="1:15" x14ac:dyDescent="0.25">
      <c r="O34" s="5"/>
    </row>
    <row r="35" spans="1:15" x14ac:dyDescent="0.25">
      <c r="A35" s="1" t="s">
        <v>37</v>
      </c>
      <c r="B35" s="4">
        <f t="shared" ref="B35:N35" si="20">B23-B33</f>
        <v>592</v>
      </c>
      <c r="C35" s="4">
        <f t="shared" si="20"/>
        <v>632.88125000000036</v>
      </c>
      <c r="D35" s="4">
        <f t="shared" si="20"/>
        <v>1106.4424531249997</v>
      </c>
      <c r="E35" s="4">
        <f t="shared" si="20"/>
        <v>1638.4936081640617</v>
      </c>
      <c r="F35" s="4">
        <f t="shared" si="20"/>
        <v>2211.2507773059579</v>
      </c>
      <c r="G35" s="4">
        <f t="shared" si="20"/>
        <v>2826.6092065641342</v>
      </c>
      <c r="H35" s="4">
        <f t="shared" si="20"/>
        <v>3487.7144928854404</v>
      </c>
      <c r="I35" s="4">
        <f t="shared" si="20"/>
        <v>4197.9613363700264</v>
      </c>
      <c r="J35" s="4">
        <f t="shared" si="20"/>
        <v>4961.0066477766923</v>
      </c>
      <c r="K35" s="4">
        <f t="shared" si="20"/>
        <v>5780.7859356223471</v>
      </c>
      <c r="L35" s="4">
        <f t="shared" si="20"/>
        <v>6661.5112402090854</v>
      </c>
      <c r="M35" s="4">
        <f t="shared" si="20"/>
        <v>7607.7192275922716</v>
      </c>
      <c r="N35" s="4">
        <f t="shared" si="20"/>
        <v>41704.37617561502</v>
      </c>
    </row>
    <row r="37" spans="1:15" x14ac:dyDescent="0.25">
      <c r="A37" s="1" t="s">
        <v>38</v>
      </c>
      <c r="B37" s="2">
        <f>ROUND(B35*0.0225,2)</f>
        <v>13.32</v>
      </c>
      <c r="C37" s="2">
        <f t="shared" ref="C37:M37" si="21">ROUND(C35*0.0225,2)</f>
        <v>14.24</v>
      </c>
      <c r="D37" s="2">
        <f t="shared" si="21"/>
        <v>24.89</v>
      </c>
      <c r="E37" s="2">
        <f t="shared" si="21"/>
        <v>36.869999999999997</v>
      </c>
      <c r="F37" s="2">
        <f t="shared" si="21"/>
        <v>49.75</v>
      </c>
      <c r="G37" s="2">
        <f t="shared" si="21"/>
        <v>63.6</v>
      </c>
      <c r="H37" s="2">
        <f t="shared" si="21"/>
        <v>78.47</v>
      </c>
      <c r="I37" s="2">
        <f t="shared" si="21"/>
        <v>94.45</v>
      </c>
      <c r="J37" s="2">
        <f t="shared" si="21"/>
        <v>111.62</v>
      </c>
      <c r="K37" s="2">
        <f t="shared" si="21"/>
        <v>130.07</v>
      </c>
      <c r="L37" s="2">
        <f t="shared" si="21"/>
        <v>149.88</v>
      </c>
      <c r="M37" s="2">
        <f t="shared" si="21"/>
        <v>171.17</v>
      </c>
      <c r="N37" s="2">
        <f t="shared" ref="N37" si="22">ROUND(N35*0.0225,2)</f>
        <v>938.35</v>
      </c>
    </row>
    <row r="39" spans="1:15" x14ac:dyDescent="0.25">
      <c r="A39" s="1" t="s">
        <v>39</v>
      </c>
      <c r="B39" s="4">
        <f>ROUND(B35-B37,2)</f>
        <v>578.67999999999995</v>
      </c>
      <c r="C39" s="4">
        <f t="shared" ref="C39:N39" si="23">ROUND(C35-C37,2)</f>
        <v>618.64</v>
      </c>
      <c r="D39" s="4">
        <f t="shared" si="23"/>
        <v>1081.55</v>
      </c>
      <c r="E39" s="4">
        <f t="shared" si="23"/>
        <v>1601.62</v>
      </c>
      <c r="F39" s="4">
        <f t="shared" si="23"/>
        <v>2161.5</v>
      </c>
      <c r="G39" s="4">
        <f t="shared" si="23"/>
        <v>2763.01</v>
      </c>
      <c r="H39" s="4">
        <f t="shared" si="23"/>
        <v>3409.24</v>
      </c>
      <c r="I39" s="4">
        <f t="shared" si="23"/>
        <v>4103.51</v>
      </c>
      <c r="J39" s="4">
        <f t="shared" si="23"/>
        <v>4849.3900000000003</v>
      </c>
      <c r="K39" s="4">
        <f t="shared" si="23"/>
        <v>5650.72</v>
      </c>
      <c r="L39" s="4">
        <f t="shared" si="23"/>
        <v>6511.63</v>
      </c>
      <c r="M39" s="4">
        <f t="shared" si="23"/>
        <v>7436.55</v>
      </c>
      <c r="N39" s="4">
        <f t="shared" si="23"/>
        <v>40766.03</v>
      </c>
    </row>
    <row r="41" spans="1:15" x14ac:dyDescent="0.25">
      <c r="A41" s="1" t="s">
        <v>40</v>
      </c>
      <c r="B41" s="2">
        <f>ROUND(B35*0.2205,2)</f>
        <v>130.54</v>
      </c>
      <c r="C41" s="2">
        <f t="shared" ref="C41:M41" si="24">ROUND(C35*0.2205,2)</f>
        <v>139.55000000000001</v>
      </c>
      <c r="D41" s="2">
        <f t="shared" si="24"/>
        <v>243.97</v>
      </c>
      <c r="E41" s="2">
        <f t="shared" si="24"/>
        <v>361.29</v>
      </c>
      <c r="F41" s="2">
        <f t="shared" si="24"/>
        <v>487.58</v>
      </c>
      <c r="G41" s="2">
        <f t="shared" si="24"/>
        <v>623.27</v>
      </c>
      <c r="H41" s="2">
        <f t="shared" si="24"/>
        <v>769.04</v>
      </c>
      <c r="I41" s="2">
        <f t="shared" si="24"/>
        <v>925.65</v>
      </c>
      <c r="J41" s="2">
        <f t="shared" si="24"/>
        <v>1093.9000000000001</v>
      </c>
      <c r="K41" s="2">
        <f t="shared" si="24"/>
        <v>1274.6600000000001</v>
      </c>
      <c r="L41" s="2">
        <f t="shared" si="24"/>
        <v>1468.86</v>
      </c>
      <c r="M41" s="2">
        <f t="shared" si="24"/>
        <v>1677.5</v>
      </c>
      <c r="N41" s="2">
        <f t="shared" ref="N41" si="25">ROUND(N35*0.2,2)</f>
        <v>8340.8799999999992</v>
      </c>
    </row>
    <row r="43" spans="1:15" x14ac:dyDescent="0.25">
      <c r="A43" s="1" t="s">
        <v>36</v>
      </c>
      <c r="B43" s="4">
        <f>B39-B41</f>
        <v>448.14</v>
      </c>
      <c r="C43" s="4">
        <f t="shared" ref="C43:N43" si="26">C39-C41</f>
        <v>479.09</v>
      </c>
      <c r="D43" s="4">
        <f t="shared" si="26"/>
        <v>837.57999999999993</v>
      </c>
      <c r="E43" s="4">
        <f t="shared" si="26"/>
        <v>1240.33</v>
      </c>
      <c r="F43" s="4">
        <f t="shared" si="26"/>
        <v>1673.92</v>
      </c>
      <c r="G43" s="4">
        <f t="shared" si="26"/>
        <v>2139.7400000000002</v>
      </c>
      <c r="H43" s="4">
        <f t="shared" si="26"/>
        <v>2640.2</v>
      </c>
      <c r="I43" s="4">
        <f t="shared" si="26"/>
        <v>3177.86</v>
      </c>
      <c r="J43" s="4">
        <f t="shared" si="26"/>
        <v>3755.4900000000002</v>
      </c>
      <c r="K43" s="4">
        <f t="shared" si="26"/>
        <v>4376.0600000000004</v>
      </c>
      <c r="L43" s="4">
        <f t="shared" si="26"/>
        <v>5042.7700000000004</v>
      </c>
      <c r="M43" s="4">
        <f t="shared" si="26"/>
        <v>5759.05</v>
      </c>
      <c r="N43" s="9">
        <f t="shared" si="26"/>
        <v>32425.15</v>
      </c>
    </row>
    <row r="45" spans="1:15" x14ac:dyDescent="0.25">
      <c r="A45" s="1" t="s">
        <v>41</v>
      </c>
      <c r="B45" s="5">
        <f t="shared" ref="B45:N45" si="27">B43/B8</f>
        <v>3.5010937499999999E-2</v>
      </c>
      <c r="C45" s="5">
        <f t="shared" si="27"/>
        <v>4.1056645813694399E-2</v>
      </c>
      <c r="D45" s="5">
        <f t="shared" si="27"/>
        <v>6.7386202112345597E-2</v>
      </c>
      <c r="E45" s="5">
        <f t="shared" si="27"/>
        <v>9.3046157056661707E-2</v>
      </c>
      <c r="F45" s="5">
        <f t="shared" si="27"/>
        <v>0.11704784837343017</v>
      </c>
      <c r="G45" s="5">
        <f t="shared" si="27"/>
        <v>0.13945092906095494</v>
      </c>
      <c r="H45" s="5">
        <f t="shared" si="27"/>
        <v>0.16036103615408226</v>
      </c>
      <c r="I45" s="5">
        <f t="shared" si="27"/>
        <v>0.17987453471972997</v>
      </c>
      <c r="J45" s="5">
        <f t="shared" si="27"/>
        <v>0.19808296454023697</v>
      </c>
      <c r="K45" s="5">
        <f t="shared" si="27"/>
        <v>0.21507169924677638</v>
      </c>
      <c r="L45" s="5">
        <f t="shared" si="27"/>
        <v>0.23092110224468657</v>
      </c>
      <c r="M45" s="5">
        <f t="shared" si="27"/>
        <v>0.24570607428847197</v>
      </c>
      <c r="N45" s="6">
        <f t="shared" si="27"/>
        <v>0.16327868659474676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17</vt:i4>
      </vt:variant>
    </vt:vector>
  </HeadingPairs>
  <TitlesOfParts>
    <vt:vector size="18" baseType="lpstr">
      <vt:lpstr>Original Data</vt:lpstr>
      <vt:lpstr>Total Revenue 12 Months</vt:lpstr>
      <vt:lpstr>Total Cost of Goods Sold </vt:lpstr>
      <vt:lpstr>Total Expenses Monthly</vt:lpstr>
      <vt:lpstr>Net Income Monthly</vt:lpstr>
      <vt:lpstr>Total Revenue 4 Items Monthly</vt:lpstr>
      <vt:lpstr>Jan Total Revenue</vt:lpstr>
      <vt:lpstr>April CGS</vt:lpstr>
      <vt:lpstr>Total Expenses 5 Items</vt:lpstr>
      <vt:lpstr>July Expenses</vt:lpstr>
      <vt:lpstr>October Taxes Interest</vt:lpstr>
      <vt:lpstr>Jan Stacked Revenue</vt:lpstr>
      <vt:lpstr>Feb Stacked Revenue</vt:lpstr>
      <vt:lpstr>Mar Stacked Revenue </vt:lpstr>
      <vt:lpstr>Apr Stacked Revenue</vt:lpstr>
      <vt:lpstr>May Stacked Revenue</vt:lpstr>
      <vt:lpstr>Jun Stacked Revenue</vt:lpstr>
      <vt:lpstr>Jul Stacked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Kasturi, Neeharikaa</dc:creator>
  <cp:lastModifiedBy>Kasturi, Neeharikaa</cp:lastModifiedBy>
  <dcterms:created xsi:type="dcterms:W3CDTF">2025-10-21T17:30:11Z</dcterms:created>
  <dcterms:modified xsi:type="dcterms:W3CDTF">2026-05-19T01:56:43Z</dcterms:modified>
</cp:coreProperties>
</file>